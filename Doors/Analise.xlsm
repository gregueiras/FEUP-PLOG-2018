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EsteLivr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0572827f2721cc9/FEUP/3A1S/PLOG/repository/FEUP-PLOG-2018/Doors/"/>
    </mc:Choice>
  </mc:AlternateContent>
  <xr:revisionPtr revIDLastSave="713" documentId="102_{6F8A4287-E0C3-4FA7-B64E-360489E8C8FE}" xr6:coauthVersionLast="40" xr6:coauthVersionMax="40" xr10:uidLastSave="{78F20F4D-C15E-49F3-BD10-0085AC379581}"/>
  <bookViews>
    <workbookView xWindow="0" yWindow="0" windowWidth="23040" windowHeight="9132" activeTab="1" xr2:uid="{BE729D50-ACEE-470D-AA1C-72A832481557}"/>
  </bookViews>
  <sheets>
    <sheet name="Dados 8x8" sheetId="12" r:id="rId1"/>
    <sheet name="Folha2" sheetId="17" r:id="rId2"/>
    <sheet name="Folha1" sheetId="16" r:id="rId3"/>
    <sheet name="Dados 16x16" sheetId="14" r:id="rId4"/>
    <sheet name="Analise 16x16" sheetId="15" r:id="rId5"/>
    <sheet name="Analise 8x8" sheetId="3" r:id="rId6"/>
  </sheets>
  <definedNames>
    <definedName name="DadosExternos_1" localSheetId="1" hidden="1">Folha2!$B$1:$E$20</definedName>
    <definedName name="Sea">'Analise 8x8'!$D$2</definedName>
    <definedName name="Search">'Analise 8x8'!$D$2</definedName>
  </definedNames>
  <calcPr calcId="191029"/>
  <pivotCaches>
    <pivotCache cacheId="0" r:id="rId7"/>
    <pivotCache cacheId="1" r:id="rId8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17" l="1"/>
  <c r="D21" i="17"/>
  <c r="C21" i="17"/>
  <c r="B21" i="17"/>
  <c r="D26" i="17"/>
  <c r="D25" i="17"/>
  <c r="D24" i="17"/>
  <c r="D23" i="17"/>
  <c r="I8" i="12"/>
  <c r="I7" i="12"/>
  <c r="E2" i="12" l="1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D2" i="12"/>
  <c r="F2" i="12" s="1"/>
  <c r="D3" i="12"/>
  <c r="F3" i="12" s="1"/>
  <c r="D4" i="12"/>
  <c r="F4" i="12" s="1"/>
  <c r="D5" i="12"/>
  <c r="F5" i="12" s="1"/>
  <c r="D6" i="12"/>
  <c r="F6" i="12" s="1"/>
  <c r="D7" i="12"/>
  <c r="F7" i="12" s="1"/>
  <c r="D8" i="12"/>
  <c r="F8" i="12" s="1"/>
  <c r="D9" i="12"/>
  <c r="F9" i="12" s="1"/>
  <c r="D10" i="12"/>
  <c r="F10" i="12" s="1"/>
  <c r="D11" i="12"/>
  <c r="F11" i="12" s="1"/>
  <c r="D12" i="12"/>
  <c r="F12" i="12" s="1"/>
  <c r="D13" i="12"/>
  <c r="F13" i="12" s="1"/>
  <c r="D14" i="12"/>
  <c r="F14" i="12" s="1"/>
  <c r="D15" i="12"/>
  <c r="F15" i="12" s="1"/>
  <c r="D16" i="12"/>
  <c r="F16" i="12" s="1"/>
  <c r="D17" i="12"/>
  <c r="F17" i="12" s="1"/>
  <c r="D18" i="12"/>
  <c r="F18" i="12" s="1"/>
  <c r="D19" i="12"/>
  <c r="F19" i="12" s="1"/>
  <c r="D20" i="12"/>
  <c r="F20" i="12" s="1"/>
  <c r="D21" i="12"/>
  <c r="F21" i="12" s="1"/>
  <c r="D22" i="12"/>
  <c r="F22" i="12" s="1"/>
  <c r="D23" i="12"/>
  <c r="F23" i="12" s="1"/>
  <c r="D24" i="12"/>
  <c r="F24" i="12" s="1"/>
  <c r="D25" i="12"/>
  <c r="F25" i="12" s="1"/>
  <c r="D26" i="12"/>
  <c r="F26" i="12" s="1"/>
  <c r="D27" i="12"/>
  <c r="F27" i="12" s="1"/>
  <c r="D28" i="12"/>
  <c r="F28" i="12" s="1"/>
  <c r="D29" i="12"/>
  <c r="F29" i="12" s="1"/>
  <c r="D30" i="12"/>
  <c r="F30" i="12" s="1"/>
  <c r="D31" i="12"/>
  <c r="F31" i="12" s="1"/>
  <c r="D32" i="12"/>
  <c r="F32" i="12" s="1"/>
  <c r="D33" i="12"/>
  <c r="F33" i="12" s="1"/>
  <c r="D34" i="12"/>
  <c r="F34" i="12" s="1"/>
  <c r="D35" i="12"/>
  <c r="F35" i="12" s="1"/>
  <c r="D36" i="12"/>
  <c r="F36" i="12" s="1"/>
  <c r="D37" i="12"/>
  <c r="F37" i="12" s="1"/>
  <c r="D38" i="12"/>
  <c r="F38" i="12" s="1"/>
  <c r="D39" i="12"/>
  <c r="F39" i="12" s="1"/>
  <c r="D40" i="12"/>
  <c r="F40" i="12" s="1"/>
  <c r="D41" i="12"/>
  <c r="F41" i="12" s="1"/>
  <c r="D42" i="12"/>
  <c r="F42" i="12" s="1"/>
  <c r="D43" i="12"/>
  <c r="F43" i="12" s="1"/>
  <c r="D44" i="12"/>
  <c r="F44" i="12" s="1"/>
  <c r="D45" i="12"/>
  <c r="F45" i="12" s="1"/>
  <c r="D46" i="12"/>
  <c r="F46" i="12" s="1"/>
  <c r="D47" i="12"/>
  <c r="F47" i="12" s="1"/>
  <c r="D48" i="12"/>
  <c r="F48" i="12" s="1"/>
  <c r="D49" i="12"/>
  <c r="F49" i="12" s="1"/>
  <c r="D50" i="12"/>
  <c r="F50" i="12" s="1"/>
  <c r="D51" i="12"/>
  <c r="F51" i="12" s="1"/>
  <c r="D52" i="12"/>
  <c r="F52" i="12" s="1"/>
  <c r="D53" i="12"/>
  <c r="F53" i="12" s="1"/>
  <c r="D54" i="12"/>
  <c r="F54" i="12" s="1"/>
  <c r="D55" i="12"/>
  <c r="F55" i="12" s="1"/>
  <c r="D56" i="12"/>
  <c r="F56" i="12" s="1"/>
  <c r="D57" i="12"/>
  <c r="F57" i="12" s="1"/>
  <c r="D58" i="12"/>
  <c r="F58" i="12" s="1"/>
  <c r="D59" i="12"/>
  <c r="F59" i="12" s="1"/>
  <c r="D60" i="12"/>
  <c r="F60" i="12" s="1"/>
  <c r="D61" i="12"/>
  <c r="F61" i="12" s="1"/>
  <c r="D62" i="12"/>
  <c r="F62" i="12" s="1"/>
  <c r="D63" i="12"/>
  <c r="F63" i="12" s="1"/>
  <c r="D64" i="12"/>
  <c r="F64" i="12" s="1"/>
  <c r="D65" i="12"/>
  <c r="F65" i="12" s="1"/>
  <c r="D66" i="12"/>
  <c r="F66" i="12" s="1"/>
  <c r="D67" i="12"/>
  <c r="F67" i="12" s="1"/>
  <c r="D68" i="12"/>
  <c r="F68" i="12" s="1"/>
  <c r="D69" i="12"/>
  <c r="F69" i="12" s="1"/>
  <c r="D70" i="12"/>
  <c r="F70" i="12" s="1"/>
  <c r="D71" i="12"/>
  <c r="F71" i="12" s="1"/>
  <c r="D72" i="12"/>
  <c r="F72" i="12" s="1"/>
  <c r="D73" i="12"/>
  <c r="F73" i="12" s="1"/>
  <c r="D74" i="12"/>
  <c r="F74" i="12" s="1"/>
  <c r="D75" i="12"/>
  <c r="F75" i="12" s="1"/>
  <c r="D76" i="12"/>
  <c r="F76" i="12" s="1"/>
  <c r="D77" i="12"/>
  <c r="F77" i="12" s="1"/>
  <c r="D78" i="12"/>
  <c r="F78" i="12" s="1"/>
  <c r="D79" i="12"/>
  <c r="F79" i="12" s="1"/>
  <c r="D80" i="12"/>
  <c r="F80" i="12" s="1"/>
  <c r="D81" i="12"/>
  <c r="F81" i="12" s="1"/>
  <c r="G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O2" i="12"/>
  <c r="O3" i="12"/>
  <c r="O4" i="12"/>
  <c r="O5" i="12"/>
  <c r="O6" i="12"/>
  <c r="O7" i="12"/>
  <c r="O8" i="12"/>
  <c r="O9" i="12"/>
  <c r="O11" i="12"/>
  <c r="O12" i="12"/>
  <c r="O13" i="12"/>
  <c r="O14" i="12"/>
  <c r="O15" i="12"/>
  <c r="O17" i="12"/>
  <c r="O18" i="12"/>
  <c r="Q2" i="14"/>
  <c r="Q3" i="14"/>
  <c r="Q4" i="14"/>
  <c r="Q5" i="14"/>
  <c r="Q6" i="14"/>
  <c r="Q7" i="14"/>
  <c r="Q8" i="14"/>
  <c r="Q9" i="14"/>
  <c r="Q11" i="14"/>
  <c r="Q12" i="14"/>
  <c r="Q13" i="14"/>
  <c r="Q14" i="14"/>
  <c r="Q15" i="14"/>
  <c r="Q17" i="14"/>
  <c r="Q18" i="14"/>
  <c r="F8" i="15" l="1"/>
  <c r="F2" i="15"/>
  <c r="F18" i="15"/>
  <c r="F17" i="15"/>
  <c r="F11" i="15"/>
  <c r="F12" i="15"/>
  <c r="F15" i="15"/>
  <c r="F14" i="15"/>
  <c r="F13" i="15"/>
  <c r="F7" i="15"/>
  <c r="F5" i="15"/>
  <c r="F6" i="15"/>
  <c r="F3" i="15"/>
  <c r="F9" i="15"/>
  <c r="F4" i="15"/>
  <c r="F18" i="3"/>
  <c r="F17" i="3"/>
  <c r="F12" i="3"/>
  <c r="F13" i="3"/>
  <c r="F14" i="3"/>
  <c r="F15" i="3"/>
  <c r="F11" i="3"/>
  <c r="F2" i="3"/>
  <c r="F9" i="3"/>
  <c r="F7" i="3"/>
  <c r="F3" i="3"/>
  <c r="F8" i="3"/>
  <c r="F5" i="3"/>
  <c r="F6" i="3"/>
  <c r="F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35DD62-9D5C-42FB-9084-4C687BDD2965}" keepAlive="1" name="Consulta - 10X" description="Ligação à consulta '10X' no livro." type="5" refreshedVersion="6" background="1" saveData="1">
    <dbPr connection="Provider=Microsoft.Mashup.OleDb.1;Data Source=$Workbook$;Location=10X;Extended Properties=&quot;&quot;" command="SELECT * FROM [10X]"/>
  </connection>
  <connection id="2" xr16:uid="{509FCFCA-780E-46EF-999A-0CE3FBF68A98}" keepAlive="1" name="Consulta - 16x16" description="Ligação à consulta '16x16' no livro." type="5" refreshedVersion="6" background="1" saveData="1">
    <dbPr connection="Provider=Microsoft.Mashup.OleDb.1;Data Source=$Workbook$;Location=16x16;Extended Properties=&quot;&quot;" command="SELECT * FROM [16x16]"/>
  </connection>
  <connection id="3" xr16:uid="{423AB3B6-8CAE-4108-A8F6-90E1148F9164}" keepAlive="1" name="Consulta - 8x8" description="Ligação à consulta '8x8' no livro." type="5" refreshedVersion="6" background="1" saveData="1">
    <dbPr connection="Provider=Microsoft.Mashup.OleDb.1;Data Source=$Workbook$;Location=8x8;Extended Properties=&quot;&quot;" command="SELECT * FROM [8x8]"/>
  </connection>
  <connection id="4" xr16:uid="{69CFF948-6805-4EAA-AD43-98D69794FB0E}" keepAlive="1" name="Consulta - C:\" description="Ligação à consulta 'C:\' no livro." type="5" refreshedVersion="6" background="1" saveData="1">
    <dbPr connection="Provider=Microsoft.Mashup.OleDb.1;Data Source=$Workbook$;Location=C:\;Extended Properties=&quot;&quot;" command="SELECT * FROM [C:\]"/>
  </connection>
  <connection id="5" xr16:uid="{3444387C-4A39-4ED3-9705-A2A6D2031A4F}" keepAlive="1" name="Consulta - Ficheiro de Exemplo" description="Ligação à consulta 'Ficheiro de Exemplo' no livro." type="5" refreshedVersion="0" background="1">
    <dbPr connection="Provider=Microsoft.Mashup.OleDb.1;Data Source=$Workbook$;Location=&quot;Ficheiro de Exemplo&quot;;Extended Properties=&quot;&quot;" command="SELECT * FROM [Ficheiro de Exemplo]"/>
  </connection>
  <connection id="6" xr16:uid="{31A3F935-D3FD-45CE-B5E3-C7B866F57B39}" keepAlive="1" name="Consulta - Ficheiro de Exemplo (2)" description="Ligação à consulta 'Ficheiro de Exemplo (2)' no livro." type="5" refreshedVersion="0" background="1">
    <dbPr connection="Provider=Microsoft.Mashup.OleDb.1;Data Source=$Workbook$;Location=&quot;Ficheiro de Exemplo (2)&quot;;Extended Properties=&quot;&quot;" command="SELECT * FROM [Ficheiro de Exemplo (2)]"/>
  </connection>
  <connection id="7" xr16:uid="{046F4601-CDC4-4254-A720-E7AC028262AB}" keepAlive="1" name="Consulta - Ficheiro de Exemplo (3)" description="Ligação à consulta 'Ficheiro de Exemplo (3)' no livro." type="5" refreshedVersion="0" background="1">
    <dbPr connection="Provider=Microsoft.Mashup.OleDb.1;Data Source=$Workbook$;Location=&quot;Ficheiro de Exemplo (3)&quot;;Extended Properties=&quot;&quot;" command="SELECT * FROM [Ficheiro de Exemplo (3)]"/>
  </connection>
  <connection id="8" xr16:uid="{BCAF40F7-F360-48DB-A2C2-9F7DA7DD7C15}" keepAlive="1" name="Consulta - Ficheiro de Exemplo (4)" description="Ligação à consulta 'Ficheiro de Exemplo (4)' no livro." type="5" refreshedVersion="0" background="1">
    <dbPr connection="Provider=Microsoft.Mashup.OleDb.1;Data Source=$Workbook$;Location=&quot;Ficheiro de Exemplo (4)&quot;;Extended Properties=&quot;&quot;" command="SELECT * FROM [Ficheiro de Exemplo (4)]"/>
  </connection>
  <connection id="9" xr16:uid="{0DC45ACB-5C88-47D1-9D97-6DF1B504CA55}" keepAlive="1" name="Consulta - Parâmetro de Ficheiro de Exemplo1" description="Ligação à consulta 'Parâmetro de Ficheiro de Exemplo1' no livro." type="5" refreshedVersion="0" background="1">
    <dbPr connection="Provider=Microsoft.Mashup.OleDb.1;Data Source=$Workbook$;Location=&quot;Parâmetro de Ficheiro de Exemplo1&quot;;Extended Properties=&quot;&quot;" command="SELECT * FROM [Parâmetro de Ficheiro de Exemplo1]"/>
  </connection>
  <connection id="10" xr16:uid="{0297125A-7FE6-4104-8A78-6A90E995D1C6}" keepAlive="1" name="Consulta - Parâmetro de Ficheiro de Exemplo2" description="Ligação à consulta 'Parâmetro de Ficheiro de Exemplo2' no livro." type="5" refreshedVersion="0" background="1">
    <dbPr connection="Provider=Microsoft.Mashup.OleDb.1;Data Source=$Workbook$;Location=&quot;Parâmetro de Ficheiro de Exemplo2&quot;;Extended Properties=&quot;&quot;" command="SELECT * FROM [Parâmetro de Ficheiro de Exemplo2]"/>
  </connection>
  <connection id="11" xr16:uid="{195E5AE8-9DF4-483B-A293-638966BE328A}" keepAlive="1" name="Consulta - Parâmetro de Ficheiro de Exemplo3" description="Ligação à consulta 'Parâmetro de Ficheiro de Exemplo3' no livro." type="5" refreshedVersion="0" background="1">
    <dbPr connection="Provider=Microsoft.Mashup.OleDb.1;Data Source=$Workbook$;Location=&quot;Parâmetro de Ficheiro de Exemplo3&quot;;Extended Properties=&quot;&quot;" command="SELECT * FROM [Parâmetro de Ficheiro de Exemplo3]"/>
  </connection>
  <connection id="12" xr16:uid="{A467A53C-63B7-4FBC-A4EF-819A6A70C836}" keepAlive="1" name="Consulta - Parâmetro de Ficheiro de Exemplo4" description="Ligação à consulta 'Parâmetro de Ficheiro de Exemplo4' no livro." type="5" refreshedVersion="0" background="1">
    <dbPr connection="Provider=Microsoft.Mashup.OleDb.1;Data Source=$Workbook$;Location=&quot;Parâmetro de Ficheiro de Exemplo4&quot;;Extended Properties=&quot;&quot;" command="SELECT * FROM [Parâmetro de Ficheiro de Exemplo4]"/>
  </connection>
  <connection id="13" xr16:uid="{63DEDF9A-9C34-451C-89A7-70B437EF664C}" keepAlive="1" name="Consulta - Transformar Ficheiro de 10X" description="Ligação à consulta 'Transformar Ficheiro de 10X' no livro." type="5" refreshedVersion="0" background="1">
    <dbPr connection="Provider=Microsoft.Mashup.OleDb.1;Data Source=$Workbook$;Location=&quot;Transformar Ficheiro de 10X&quot;;Extended Properties=&quot;&quot;" command="SELECT * FROM [Transformar Ficheiro de 10X]"/>
  </connection>
  <connection id="14" xr16:uid="{AD2DB0BF-D10A-450D-933F-B344DF211162}" keepAlive="1" name="Consulta - Transformar Ficheiro de 16x16" description="Ligação à consulta 'Transformar Ficheiro de 16x16' no livro." type="5" refreshedVersion="0" background="1">
    <dbPr connection="Provider=Microsoft.Mashup.OleDb.1;Data Source=$Workbook$;Location=&quot;Transformar Ficheiro de 16x16&quot;;Extended Properties=&quot;&quot;" command="SELECT * FROM [Transformar Ficheiro de 16x16]"/>
  </connection>
  <connection id="15" xr16:uid="{FB3CD9F9-F682-417C-AD5C-53A20A7D518E}" keepAlive="1" name="Consulta - Transformar Ficheiro de 8x8" description="Ligação à consulta 'Transformar Ficheiro de 8x8' no livro." type="5" refreshedVersion="0" background="1">
    <dbPr connection="Provider=Microsoft.Mashup.OleDb.1;Data Source=$Workbook$;Location=&quot;Transformar Ficheiro de 8x8&quot;;Extended Properties=&quot;&quot;" command="SELECT * FROM [Transformar Ficheiro de 8x8]"/>
  </connection>
  <connection id="16" xr16:uid="{AC860475-8BCA-4B5D-9536-7D23A525FD6B}" keepAlive="1" name="Consulta - Transformar Ficheiro de C:\" description="Ligação à consulta 'Transformar Ficheiro de C:\' no livro." type="5" refreshedVersion="0" background="1">
    <dbPr connection="Provider=Microsoft.Mashup.OleDb.1;Data Source=$Workbook$;Location=&quot;Transformar Ficheiro de C:\&quot;;Extended Properties=&quot;&quot;" command="SELECT * FROM [Transformar Ficheiro de C:\]"/>
  </connection>
  <connection id="17" xr16:uid="{38D636D2-3898-4BC5-8F46-B1F08EC03504}" keepAlive="1" name="Consulta - Transformar Ficheiro de Exemplo de 10X" description="Ligação à consulta 'Transformar Ficheiro de Exemplo de 10X' no livro." type="5" refreshedVersion="0" background="1">
    <dbPr connection="Provider=Microsoft.Mashup.OleDb.1;Data Source=$Workbook$;Location=&quot;Transformar Ficheiro de Exemplo de 10X&quot;;Extended Properties=&quot;&quot;" command="SELECT * FROM [Transformar Ficheiro de Exemplo de 10X]"/>
  </connection>
  <connection id="18" xr16:uid="{B185E91A-97A3-4097-9F18-18207B0CA2FA}" keepAlive="1" name="Consulta - Transformar Ficheiro de Exemplo de 16x16" description="Ligação à consulta 'Transformar Ficheiro de Exemplo de 16x16' no livro." type="5" refreshedVersion="0" background="1">
    <dbPr connection="Provider=Microsoft.Mashup.OleDb.1;Data Source=$Workbook$;Location=&quot;Transformar Ficheiro de Exemplo de 16x16&quot;;Extended Properties=&quot;&quot;" command="SELECT * FROM [Transformar Ficheiro de Exemplo de 16x16]"/>
  </connection>
  <connection id="19" xr16:uid="{3402FBF7-3456-46E0-85F2-F5F0F799C233}" keepAlive="1" name="Consulta - Transformar Ficheiro de Exemplo de 8x8" description="Ligação à consulta 'Transformar Ficheiro de Exemplo de 8x8' no livro." type="5" refreshedVersion="0" background="1">
    <dbPr connection="Provider=Microsoft.Mashup.OleDb.1;Data Source=$Workbook$;Location=&quot;Transformar Ficheiro de Exemplo de 8x8&quot;;Extended Properties=&quot;&quot;" command="SELECT * FROM [Transformar Ficheiro de Exemplo de 8x8]"/>
  </connection>
  <connection id="20" xr16:uid="{A8E25BFD-0E64-4B74-822C-14E9D8F89BDD}" keepAlive="1" name="Consulta - Transformar Ficheiro de Exemplo de C:\" description="Ligação à consulta 'Transformar Ficheiro de Exemplo de C:\' no livro." type="5" refreshedVersion="0" background="1">
    <dbPr connection="Provider=Microsoft.Mashup.OleDb.1;Data Source=$Workbook$;Location=&quot;Transformar Ficheiro de Exemplo de C:\&quot;;Extended Properties=&quot;&quot;" command="SELECT * FROM [Transformar Ficheiro de Exemplo de C:\]"/>
  </connection>
</connections>
</file>

<file path=xl/sharedStrings.xml><?xml version="1.0" encoding="utf-8"?>
<sst xmlns="http://schemas.openxmlformats.org/spreadsheetml/2006/main" count="650" uniqueCount="208">
  <si>
    <t>Valores</t>
  </si>
  <si>
    <t>Total</t>
  </si>
  <si>
    <t>FFC</t>
  </si>
  <si>
    <t>*ffc*</t>
  </si>
  <si>
    <t>*first_fail*</t>
  </si>
  <si>
    <t>*min*</t>
  </si>
  <si>
    <t>*max*</t>
  </si>
  <si>
    <t>*occurrence*</t>
  </si>
  <si>
    <t>*max_regret*</t>
  </si>
  <si>
    <t>*leftmost*</t>
  </si>
  <si>
    <t>*step*</t>
  </si>
  <si>
    <t>*enum*</t>
  </si>
  <si>
    <t>*bisect*</t>
  </si>
  <si>
    <t>*median*</t>
  </si>
  <si>
    <t>*middle*</t>
  </si>
  <si>
    <t>*down*</t>
  </si>
  <si>
    <t>*up*</t>
  </si>
  <si>
    <t>*aff*</t>
  </si>
  <si>
    <t>Soma</t>
  </si>
  <si>
    <t>Média</t>
  </si>
  <si>
    <t>First_Fail</t>
  </si>
  <si>
    <t>Anti_First_Fail</t>
  </si>
  <si>
    <t>Min</t>
  </si>
  <si>
    <t>Max</t>
  </si>
  <si>
    <t>Occurrence</t>
  </si>
  <si>
    <t>Max_regret</t>
  </si>
  <si>
    <t>Leftmost</t>
  </si>
  <si>
    <t>Step</t>
  </si>
  <si>
    <t>Enum</t>
  </si>
  <si>
    <t>Bisect</t>
  </si>
  <si>
    <t>Median</t>
  </si>
  <si>
    <t>Middle</t>
  </si>
  <si>
    <t>Up</t>
  </si>
  <si>
    <t>Down</t>
  </si>
  <si>
    <t>Estratégia</t>
  </si>
  <si>
    <t>ffc_step_up</t>
  </si>
  <si>
    <t>aff_bisect_down</t>
  </si>
  <si>
    <t>aff_bisect_up</t>
  </si>
  <si>
    <t>ffc_enum_up</t>
  </si>
  <si>
    <t>aff_enum_down</t>
  </si>
  <si>
    <t>ffc_median_up</t>
  </si>
  <si>
    <t>aff_enum_up</t>
  </si>
  <si>
    <t>occurrence_median_down</t>
  </si>
  <si>
    <t>aff_median_down</t>
  </si>
  <si>
    <t>ffc_step_down</t>
  </si>
  <si>
    <t>aff_median_up</t>
  </si>
  <si>
    <t>occurrence_median_up</t>
  </si>
  <si>
    <t>aff_middle_down</t>
  </si>
  <si>
    <t>ffc_bisect_up</t>
  </si>
  <si>
    <t>aff_middle_up</t>
  </si>
  <si>
    <t>first_fail_middle_down</t>
  </si>
  <si>
    <t>aff_step_down</t>
  </si>
  <si>
    <t>occurrence_bisect_up</t>
  </si>
  <si>
    <t>aff_step_up</t>
  </si>
  <si>
    <t>min_step_up</t>
  </si>
  <si>
    <t>ffc_bisect_down</t>
  </si>
  <si>
    <t>first_fail_middle_up</t>
  </si>
  <si>
    <t>occurrence_middle_up</t>
  </si>
  <si>
    <t>ffc_enum_down</t>
  </si>
  <si>
    <t>occurrence_bisect_down</t>
  </si>
  <si>
    <t>occurrence_step_down</t>
  </si>
  <si>
    <t>ffc_median_down</t>
  </si>
  <si>
    <t>min_enum_down</t>
  </si>
  <si>
    <t>first_fail_step_up</t>
  </si>
  <si>
    <t>ffc_middle_down</t>
  </si>
  <si>
    <t>ffc_middle_up</t>
  </si>
  <si>
    <t>first_fail_bisect_up</t>
  </si>
  <si>
    <t>min_middle_up</t>
  </si>
  <si>
    <t>min_enum_up</t>
  </si>
  <si>
    <t>first_fail_bisect_down</t>
  </si>
  <si>
    <t>first_fail_step_down</t>
  </si>
  <si>
    <t>first_fail_enum_down</t>
  </si>
  <si>
    <t>first_fail_enum_up</t>
  </si>
  <si>
    <t>first_fail_median_down</t>
  </si>
  <si>
    <t>min_bisect_down</t>
  </si>
  <si>
    <t>first_fail_median_up</t>
  </si>
  <si>
    <t>occurrence_enum_up</t>
  </si>
  <si>
    <t>max_regret_median_up</t>
  </si>
  <si>
    <t>occurrence_step_up</t>
  </si>
  <si>
    <t>leftmost_bisect_down</t>
  </si>
  <si>
    <t>occurrence_middle_down</t>
  </si>
  <si>
    <t>leftmost_bisect_up</t>
  </si>
  <si>
    <t>max_regret_bisect_up</t>
  </si>
  <si>
    <t>leftmost_enum_down</t>
  </si>
  <si>
    <t>leftmost_enum_up</t>
  </si>
  <si>
    <t>leftmost_median_down</t>
  </si>
  <si>
    <t>leftmost_median_up</t>
  </si>
  <si>
    <t>min_median_up</t>
  </si>
  <si>
    <t>leftmost_middle_down</t>
  </si>
  <si>
    <t>leftmost_middle_up</t>
  </si>
  <si>
    <t>occurrence_enum_down</t>
  </si>
  <si>
    <t>leftmost_step_down</t>
  </si>
  <si>
    <t>min_median_down</t>
  </si>
  <si>
    <t>leftmost_step_up</t>
  </si>
  <si>
    <t>max_regret_enum_up</t>
  </si>
  <si>
    <t>max_bisect_down</t>
  </si>
  <si>
    <t>min_middle_down</t>
  </si>
  <si>
    <t>max_bisect_up</t>
  </si>
  <si>
    <t>min_step_down</t>
  </si>
  <si>
    <t>max_enum_down</t>
  </si>
  <si>
    <t>max_regret_bisect_down</t>
  </si>
  <si>
    <t>max_enum_up</t>
  </si>
  <si>
    <t>max_regret_enum_down</t>
  </si>
  <si>
    <t>max_median_down</t>
  </si>
  <si>
    <t>max_median_up</t>
  </si>
  <si>
    <t>min_bisect_up</t>
  </si>
  <si>
    <t>max_middle_down</t>
  </si>
  <si>
    <t>max_regret_middle_up</t>
  </si>
  <si>
    <t>max_middle_up</t>
  </si>
  <si>
    <t>max_step_up</t>
  </si>
  <si>
    <t>max_regret_median_down</t>
  </si>
  <si>
    <t>max_regret_step_up</t>
  </si>
  <si>
    <t>max_regret_middle_down</t>
  </si>
  <si>
    <t>max_regret_step_down</t>
  </si>
  <si>
    <t>max_step_down</t>
  </si>
  <si>
    <t>Média de ffc_enum_up</t>
  </si>
  <si>
    <t>Média de ffc_median_up</t>
  </si>
  <si>
    <t>Média de ffc_step_up</t>
  </si>
  <si>
    <t>Média de ffc_bisect_up</t>
  </si>
  <si>
    <t>Média de ffc_step_down</t>
  </si>
  <si>
    <t>Média de occurrence_bisect_up</t>
  </si>
  <si>
    <t>Média de first_fail_middle_down</t>
  </si>
  <si>
    <t>Média de first_fail_middle_up</t>
  </si>
  <si>
    <t>Média de min_step_up</t>
  </si>
  <si>
    <t>Média de occurrence_median_down</t>
  </si>
  <si>
    <t>Média de ffc_middle_up</t>
  </si>
  <si>
    <t>Média de first_fail_step_up</t>
  </si>
  <si>
    <t>Média de aff_step_up</t>
  </si>
  <si>
    <t>Média de ffc_median_down</t>
  </si>
  <si>
    <t>Média de occurrence_middle_up</t>
  </si>
  <si>
    <t>Média de occurrence_step_down</t>
  </si>
  <si>
    <t>Média de min_enum_down</t>
  </si>
  <si>
    <t>Média de occurrence_median_up</t>
  </si>
  <si>
    <t>Média de first_fail_bisect_up</t>
  </si>
  <si>
    <t>Média de min_enum_up</t>
  </si>
  <si>
    <t>Média de ffc_bisect_down</t>
  </si>
  <si>
    <t>Média de ffc_enum_down</t>
  </si>
  <si>
    <t>Média de ffc_middle_down</t>
  </si>
  <si>
    <t>Média de min_bisect_down</t>
  </si>
  <si>
    <t>Média de first_fail_step_down</t>
  </si>
  <si>
    <t>Média de aff_enum_up</t>
  </si>
  <si>
    <t>Média de first_fail_median_down</t>
  </si>
  <si>
    <t>Média de occurrence_enum_up</t>
  </si>
  <si>
    <t>Média de occurrence_bisect_down</t>
  </si>
  <si>
    <t>Média de first_fail_enum_down</t>
  </si>
  <si>
    <t>Média de max_regret_median_up</t>
  </si>
  <si>
    <t>Média de occurrence_step_up</t>
  </si>
  <si>
    <t>Média de min_middle_up</t>
  </si>
  <si>
    <t>Média de aff_middle_down</t>
  </si>
  <si>
    <t>Média de occurrence_middle_down</t>
  </si>
  <si>
    <t>Média de first_fail_enum_up</t>
  </si>
  <si>
    <t>Média de min_median_down</t>
  </si>
  <si>
    <t>Média de min_step_down</t>
  </si>
  <si>
    <t>Média de min_median_up</t>
  </si>
  <si>
    <t>Média de aff_step_down</t>
  </si>
  <si>
    <t>Média de aff_bisect_up</t>
  </si>
  <si>
    <t>Média de occurrence_enum_down</t>
  </si>
  <si>
    <t>Média de min_bisect_up</t>
  </si>
  <si>
    <t>Média de min_middle_down</t>
  </si>
  <si>
    <t>Média de max_regret_enum_up</t>
  </si>
  <si>
    <t>Média de aff_bisect_down</t>
  </si>
  <si>
    <t>Média de max_regret_bisect_down</t>
  </si>
  <si>
    <t>Média de max_regret_bisect_up</t>
  </si>
  <si>
    <t>Média de max_regret_enum_down</t>
  </si>
  <si>
    <t>Média de max_step_up</t>
  </si>
  <si>
    <t>Média de max_regret_middle_up</t>
  </si>
  <si>
    <t>Média de max_regret_step_up</t>
  </si>
  <si>
    <t>Média de max_regret_median_down</t>
  </si>
  <si>
    <t>Média de first_fail_bisect_down</t>
  </si>
  <si>
    <t>Média de aff_median_up</t>
  </si>
  <si>
    <t>Média de leftmost_step_up</t>
  </si>
  <si>
    <t>Média de max_enum_up</t>
  </si>
  <si>
    <t>Média de first_fail_median_up</t>
  </si>
  <si>
    <t>Média de aff_median_down</t>
  </si>
  <si>
    <t>Média de max_bisect_up</t>
  </si>
  <si>
    <t>Média de max_regret_step_down</t>
  </si>
  <si>
    <t>Média de aff_enum_down</t>
  </si>
  <si>
    <t>Média de leftmost_enum_up</t>
  </si>
  <si>
    <t>Média de max_step_down</t>
  </si>
  <si>
    <t>Média de max_enum_down</t>
  </si>
  <si>
    <t>Média de leftmost_step_down</t>
  </si>
  <si>
    <t>Média de max_regret_middle_down</t>
  </si>
  <si>
    <t>Média de leftmost_enum_down</t>
  </si>
  <si>
    <t>Média de max_median_up</t>
  </si>
  <si>
    <t>Média de leftmost_bisect_up</t>
  </si>
  <si>
    <t>Média de max_bisect_down</t>
  </si>
  <si>
    <t>Média de aff_middle_up</t>
  </si>
  <si>
    <t>Média de max_median_down</t>
  </si>
  <si>
    <t>Média de leftmost_median_down</t>
  </si>
  <si>
    <t>Média de leftmost_median_up</t>
  </si>
  <si>
    <t>Média de max_middle_down</t>
  </si>
  <si>
    <t>Média de leftmost_bisect_down</t>
  </si>
  <si>
    <t>Média de leftmost_middle_up</t>
  </si>
  <si>
    <t>Média de max_middle_up</t>
  </si>
  <si>
    <t>Média de leftmost_middle_down</t>
  </si>
  <si>
    <t>aff_middle_down.</t>
  </si>
  <si>
    <t>Média 8x8</t>
  </si>
  <si>
    <t>Média 16x16</t>
  </si>
  <si>
    <t>8x8 Performance</t>
  </si>
  <si>
    <t>16x16 Performance</t>
  </si>
  <si>
    <t>Performance</t>
  </si>
  <si>
    <t>Perda 8x8</t>
  </si>
  <si>
    <t>Perda 16x16</t>
  </si>
  <si>
    <t>Perda Soma</t>
  </si>
  <si>
    <t>16_anti_first_fail_step_up.csv</t>
  </si>
  <si>
    <t>24_anti_first_fail_step_up.csv</t>
  </si>
  <si>
    <t>8_anti_first_fail_step_up.csv</t>
  </si>
  <si>
    <t>32_anti_first_fail_step_up.csv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</si>
</sst>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#,##0.000"/>
    <numFmt numFmtId="165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0" borderId="0" xfId="0" applyNumberFormat="1"/>
    <xf numFmtId="0" fontId="2" fillId="3" borderId="2" xfId="0" applyFont="1" applyFill="1" applyBorder="1"/>
    <xf numFmtId="0" fontId="2" fillId="3" borderId="3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0" fillId="0" borderId="4" xfId="0" applyFont="1" applyBorder="1"/>
    <xf numFmtId="0" fontId="2" fillId="5" borderId="5" xfId="0" applyFont="1" applyFill="1" applyBorder="1"/>
    <xf numFmtId="0" fontId="2" fillId="5" borderId="6" xfId="0" applyFont="1" applyFill="1" applyBorder="1"/>
    <xf numFmtId="0" fontId="0" fillId="2" borderId="5" xfId="0" applyFont="1" applyFill="1" applyBorder="1"/>
    <xf numFmtId="0" fontId="0" fillId="0" borderId="5" xfId="0" applyFont="1" applyBorder="1"/>
    <xf numFmtId="0" fontId="0" fillId="4" borderId="0" xfId="0" applyFont="1" applyFill="1" applyBorder="1"/>
    <xf numFmtId="10" fontId="0" fillId="0" borderId="0" xfId="0" applyNumberFormat="1"/>
    <xf numFmtId="10" fontId="2" fillId="5" borderId="6" xfId="0" applyNumberFormat="1" applyFont="1" applyFill="1" applyBorder="1"/>
    <xf numFmtId="0" fontId="0" fillId="0" borderId="0" xfId="0" applyFill="1" applyBorder="1"/>
    <xf numFmtId="0" fontId="2" fillId="0" borderId="1" xfId="0" applyFont="1" applyFill="1" applyBorder="1"/>
    <xf numFmtId="10" fontId="2" fillId="0" borderId="1" xfId="0" applyNumberFormat="1" applyFont="1" applyFill="1" applyBorder="1"/>
    <xf numFmtId="0" fontId="0" fillId="0" borderId="6" xfId="0" applyFont="1" applyFill="1" applyBorder="1"/>
    <xf numFmtId="165" fontId="0" fillId="0" borderId="6" xfId="0" applyNumberFormat="1" applyFont="1" applyFill="1" applyBorder="1"/>
    <xf numFmtId="10" fontId="0" fillId="0" borderId="6" xfId="0" applyNumberFormat="1" applyFont="1" applyFill="1" applyBorder="1"/>
    <xf numFmtId="165" fontId="0" fillId="0" borderId="0" xfId="0" applyNumberFormat="1" applyFill="1" applyBorder="1"/>
    <xf numFmtId="10" fontId="0" fillId="0" borderId="0" xfId="0" applyNumberFormat="1" applyFill="1" applyBorder="1"/>
    <xf numFmtId="0" fontId="0" fillId="0" borderId="7" xfId="0" applyFont="1" applyFill="1" applyBorder="1"/>
    <xf numFmtId="165" fontId="0" fillId="0" borderId="7" xfId="0" applyNumberFormat="1" applyFont="1" applyFill="1" applyBorder="1"/>
    <xf numFmtId="10" fontId="0" fillId="0" borderId="7" xfId="0" applyNumberFormat="1" applyFont="1" applyFill="1" applyBorder="1"/>
    <xf numFmtId="9" fontId="0" fillId="0" borderId="0" xfId="2" applyFont="1"/>
    <xf numFmtId="9" fontId="0" fillId="2" borderId="6" xfId="2" applyFont="1" applyFill="1" applyBorder="1"/>
    <xf numFmtId="9" fontId="0" fillId="0" borderId="6" xfId="2" applyFont="1" applyBorder="1"/>
    <xf numFmtId="2" fontId="0" fillId="0" borderId="0" xfId="1" applyNumberFormat="1" applyFont="1"/>
    <xf numFmtId="0" fontId="0" fillId="0" borderId="0" xfId="2" applyNumberFormat="1" applyFont="1"/>
    <xf numFmtId="2" fontId="0" fillId="0" borderId="0" xfId="0" applyNumberFormat="1"/>
    <xf numFmtId="0" fontId="2" fillId="3" borderId="2" xfId="0" applyFont="1" applyFill="1" applyBorder="1" applyAlignment="1">
      <alignment horizontal="right"/>
    </xf>
  </cellXfs>
  <cellStyles count="3">
    <cellStyle name="Normal" xfId="0" builtinId="0"/>
    <cellStyle name="Percentagem" xfId="2" builtinId="5"/>
    <cellStyle name="Vírgula" xfId="1" builtinId="3"/>
  </cellStyles>
  <dxfs count="24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0.000"/>
    </dxf>
    <dxf>
      <numFmt numFmtId="165" formatCode="0.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00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00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00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4"/>
          <bgColor auto="1"/>
        </patternFill>
      </fill>
    </dxf>
    <dxf>
      <numFmt numFmtId="165" formatCode="0.000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'Dados 8x8'!$N$21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'Dados 8x8'!$I$22:$I$32</c:f>
              <c:strCache>
                <c:ptCount val="11"/>
                <c:pt idx="0">
                  <c:v>aff_step_up</c:v>
                </c:pt>
                <c:pt idx="1">
                  <c:v>ffc_step_down</c:v>
                </c:pt>
                <c:pt idx="2">
                  <c:v>ffc_enum_up</c:v>
                </c:pt>
                <c:pt idx="3">
                  <c:v>first_fail_middle_up</c:v>
                </c:pt>
                <c:pt idx="4">
                  <c:v>first_fail_step_up</c:v>
                </c:pt>
                <c:pt idx="5">
                  <c:v>leftmost_step_up</c:v>
                </c:pt>
                <c:pt idx="6">
                  <c:v>leftmost_middle_down</c:v>
                </c:pt>
                <c:pt idx="7">
                  <c:v>max_middle_down</c:v>
                </c:pt>
                <c:pt idx="8">
                  <c:v>leftmost_bisect_down</c:v>
                </c:pt>
                <c:pt idx="9">
                  <c:v>leftmost_step_down</c:v>
                </c:pt>
                <c:pt idx="10">
                  <c:v>min_enum_up</c:v>
                </c:pt>
              </c:strCache>
            </c:strRef>
          </c:cat>
          <c:val>
            <c:numRef>
              <c:f>'Dados 8x8'!$N$22:$N$32</c:f>
              <c:numCache>
                <c:formatCode>0.00%</c:formatCode>
                <c:ptCount val="11"/>
                <c:pt idx="0">
                  <c:v>7.3543457497612152E-2</c:v>
                </c:pt>
                <c:pt idx="1">
                  <c:v>9.2181359407639718E-2</c:v>
                </c:pt>
                <c:pt idx="2">
                  <c:v>0.10079733414815539</c:v>
                </c:pt>
                <c:pt idx="3">
                  <c:v>0.14342828700954513</c:v>
                </c:pt>
                <c:pt idx="4">
                  <c:v>0.14754429153718895</c:v>
                </c:pt>
                <c:pt idx="5">
                  <c:v>0.706045633879687</c:v>
                </c:pt>
                <c:pt idx="6">
                  <c:v>0.92958668918957876</c:v>
                </c:pt>
                <c:pt idx="7">
                  <c:v>0.95488345546055697</c:v>
                </c:pt>
                <c:pt idx="8">
                  <c:v>0.99856291521814722</c:v>
                </c:pt>
                <c:pt idx="9">
                  <c:v>1.1576649966657637</c:v>
                </c:pt>
                <c:pt idx="10">
                  <c:v>1.9285239613420737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C5-4A00-9189-BDE178251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068352"/>
        <c:axId val="758413072"/>
      </c:lineChart>
      <c:catAx>
        <c:axId val="72406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413072"/>
        <c:crosses val="autoZero"/>
        <c:auto val="1"/>
        <c:lblAlgn val="ctr"/>
        <c:lblOffset val="100"/>
        <c:noMultiLvlLbl val="0"/>
      </c:catAx>
      <c:valAx>
        <c:axId val="75841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6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forward val="3"/>
            <c:backward val="8"/>
            <c:dispRSqr val="0"/>
            <c:dispEq val="0"/>
          </c:trendline>
          <c:xVal>
            <c:numRef>
              <c:f>Folha2!$C$23:$C$26</c:f>
              <c:numCache>
                <c:formatCode>General</c:formatCode>
                <c:ptCount val="4"/>
                <c:pt idx="0">
                  <c:v>8</c:v>
                </c:pt>
                <c:pt idx="1">
                  <c:v>16</c:v>
                </c:pt>
                <c:pt idx="2">
                  <c:v>24</c:v>
                </c:pt>
                <c:pt idx="3">
                  <c:v>32</c:v>
                </c:pt>
              </c:numCache>
            </c:numRef>
          </c:xVal>
          <c:yVal>
            <c:numRef>
              <c:f>Folha2!$D$23:$D$26</c:f>
              <c:numCache>
                <c:formatCode>0.00</c:formatCode>
                <c:ptCount val="4"/>
                <c:pt idx="0">
                  <c:v>0.1168</c:v>
                </c:pt>
                <c:pt idx="1">
                  <c:v>2.1402666666666668</c:v>
                </c:pt>
                <c:pt idx="2">
                  <c:v>15.602933333333333</c:v>
                </c:pt>
                <c:pt idx="3">
                  <c:v>178.10933333333335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80-4851-B680-88DF18A97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13488"/>
        <c:axId val="811480640"/>
      </c:scatterChart>
      <c:valAx>
        <c:axId val="19151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Tamanho do Tabuleiro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480640"/>
        <c:crosses val="autoZero"/>
        <c:crossBetween val="midCat"/>
      </c:valAx>
      <c:valAx>
        <c:axId val="81148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3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16x16 - Diferentes Opções de Pesquisa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9"/>
            <c:marker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2D02-4B57-A1A3-DE60BB1C7892}"/>
              </c:ext>
            </c:extLst>
          </c:dPt>
          <c:dPt>
            <c:idx val="10"/>
            <c:marker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2D02-4B57-A1A3-DE60BB1C7892}"/>
              </c:ext>
            </c:extLst>
          </c:dPt>
          <c:dPt>
            <c:idx val="11"/>
            <c:marker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2D02-4B57-A1A3-DE60BB1C7892}"/>
              </c:ext>
            </c:extLst>
          </c:dPt>
          <c:dPt>
            <c:idx val="12"/>
            <c:marker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2D02-4B57-A1A3-DE60BB1C7892}"/>
              </c:ext>
            </c:extLst>
          </c:dPt>
          <c:dPt>
            <c:idx val="13"/>
            <c:marker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2D02-4B57-A1A3-DE60BB1C7892}"/>
              </c:ext>
            </c:extLst>
          </c:dPt>
          <c:dPt>
            <c:idx val="15"/>
            <c:marker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2D02-4B57-A1A3-DE60BB1C7892}"/>
              </c:ext>
            </c:extLst>
          </c:dPt>
          <c:dPt>
            <c:idx val="16"/>
            <c:marker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2D02-4B57-A1A3-DE60BB1C7892}"/>
              </c:ext>
            </c:extLst>
          </c:dPt>
          <c:cat>
            <c:strRef>
              <c:f>'Dados 16x16'!$O$2:$O$18</c:f>
              <c:strCache>
                <c:ptCount val="17"/>
                <c:pt idx="0">
                  <c:v>FFC</c:v>
                </c:pt>
                <c:pt idx="1">
                  <c:v>Anti_First_Fail</c:v>
                </c:pt>
                <c:pt idx="2">
                  <c:v>Max_regret</c:v>
                </c:pt>
                <c:pt idx="3">
                  <c:v>Max</c:v>
                </c:pt>
                <c:pt idx="4">
                  <c:v>First_Fail</c:v>
                </c:pt>
                <c:pt idx="5">
                  <c:v>Occurrence</c:v>
                </c:pt>
                <c:pt idx="6">
                  <c:v>Min</c:v>
                </c:pt>
                <c:pt idx="7">
                  <c:v>Leftmost</c:v>
                </c:pt>
                <c:pt idx="9">
                  <c:v>Middle</c:v>
                </c:pt>
                <c:pt idx="10">
                  <c:v>Median</c:v>
                </c:pt>
                <c:pt idx="11">
                  <c:v>Bisect</c:v>
                </c:pt>
                <c:pt idx="12">
                  <c:v>Step</c:v>
                </c:pt>
                <c:pt idx="13">
                  <c:v>Enum</c:v>
                </c:pt>
                <c:pt idx="15">
                  <c:v>Up</c:v>
                </c:pt>
                <c:pt idx="16">
                  <c:v>Down</c:v>
                </c:pt>
              </c:strCache>
              <c:extLst/>
            </c:strRef>
          </c:cat>
          <c:val>
            <c:numRef>
              <c:f>'Dados 16x16'!$Q$2:$Q$18</c:f>
              <c:numCache>
                <c:formatCode>General</c:formatCode>
                <c:ptCount val="17"/>
                <c:pt idx="0">
                  <c:v>1716.2285714285713</c:v>
                </c:pt>
                <c:pt idx="1">
                  <c:v>1787.2571428571428</c:v>
                </c:pt>
                <c:pt idx="2">
                  <c:v>1858.9142857142858</c:v>
                </c:pt>
                <c:pt idx="3">
                  <c:v>1868.0571428571427</c:v>
                </c:pt>
                <c:pt idx="4">
                  <c:v>1968.2285714285713</c:v>
                </c:pt>
                <c:pt idx="5">
                  <c:v>2018.9142857142858</c:v>
                </c:pt>
                <c:pt idx="6">
                  <c:v>2063.6000000000004</c:v>
                </c:pt>
                <c:pt idx="7">
                  <c:v>2083.0857142857139</c:v>
                </c:pt>
                <c:pt idx="9">
                  <c:v>1873.5714285714287</c:v>
                </c:pt>
                <c:pt idx="10">
                  <c:v>1887.8928571428571</c:v>
                </c:pt>
                <c:pt idx="11">
                  <c:v>1908.1428571428571</c:v>
                </c:pt>
                <c:pt idx="12">
                  <c:v>1952.9285714285718</c:v>
                </c:pt>
                <c:pt idx="13">
                  <c:v>1985.8571428571429</c:v>
                </c:pt>
                <c:pt idx="15">
                  <c:v>1865.8571428571431</c:v>
                </c:pt>
                <c:pt idx="16">
                  <c:v>1977.5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D02-4B57-A1A3-DE60BB1C7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98960"/>
        <c:axId val="615124416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dPt>
                  <c:idx val="9"/>
                  <c:bubble3D val="0"/>
                  <c:spPr>
                    <a:ln>
                      <a:solidFill>
                        <a:schemeClr val="accent2"/>
                      </a:solidFill>
                    </a:ln>
                  </c:spPr>
                  <c:extLst>
                    <c:ext xmlns:c16="http://schemas.microsoft.com/office/drawing/2014/chart" uri="{C3380CC4-5D6E-409C-BE32-E72D297353CC}">
                      <c16:uniqueId val="{00000018-2D02-4B57-A1A3-DE60BB1C7892}"/>
                    </c:ext>
                  </c:extLst>
                </c:dPt>
                <c:dPt>
                  <c:idx val="10"/>
                  <c:bubble3D val="0"/>
                  <c:spPr>
                    <a:ln>
                      <a:solidFill>
                        <a:schemeClr val="accent2"/>
                      </a:solidFill>
                    </a:ln>
                  </c:spPr>
                  <c:extLst>
                    <c:ext xmlns:c16="http://schemas.microsoft.com/office/drawing/2014/chart" uri="{C3380CC4-5D6E-409C-BE32-E72D297353CC}">
                      <c16:uniqueId val="{00000019-2D02-4B57-A1A3-DE60BB1C7892}"/>
                    </c:ext>
                  </c:extLst>
                </c:dPt>
                <c:dPt>
                  <c:idx val="11"/>
                  <c:bubble3D val="0"/>
                  <c:spPr>
                    <a:ln>
                      <a:solidFill>
                        <a:schemeClr val="accent2"/>
                      </a:solidFill>
                    </a:ln>
                  </c:spPr>
                  <c:extLst>
                    <c:ext xmlns:c16="http://schemas.microsoft.com/office/drawing/2014/chart" uri="{C3380CC4-5D6E-409C-BE32-E72D297353CC}">
                      <c16:uniqueId val="{0000001A-2D02-4B57-A1A3-DE60BB1C7892}"/>
                    </c:ext>
                  </c:extLst>
                </c:dPt>
                <c:dPt>
                  <c:idx val="12"/>
                  <c:bubble3D val="0"/>
                  <c:spPr>
                    <a:ln>
                      <a:solidFill>
                        <a:schemeClr val="accent2"/>
                      </a:solidFill>
                    </a:ln>
                  </c:spPr>
                  <c:extLst>
                    <c:ext xmlns:c16="http://schemas.microsoft.com/office/drawing/2014/chart" uri="{C3380CC4-5D6E-409C-BE32-E72D297353CC}">
                      <c16:uniqueId val="{0000001B-2D02-4B57-A1A3-DE60BB1C7892}"/>
                    </c:ext>
                  </c:extLst>
                </c:dPt>
                <c:dPt>
                  <c:idx val="13"/>
                  <c:bubble3D val="0"/>
                  <c:spPr>
                    <a:ln>
                      <a:solidFill>
                        <a:schemeClr val="accent2"/>
                      </a:solidFill>
                    </a:ln>
                  </c:spPr>
                  <c:extLst>
                    <c:ext xmlns:c16="http://schemas.microsoft.com/office/drawing/2014/chart" uri="{C3380CC4-5D6E-409C-BE32-E72D297353CC}">
                      <c16:uniqueId val="{0000001C-2D02-4B57-A1A3-DE60BB1C7892}"/>
                    </c:ext>
                  </c:extLst>
                </c:dPt>
                <c:dPt>
                  <c:idx val="16"/>
                  <c:bubble3D val="0"/>
                  <c:spPr>
                    <a:ln>
                      <a:solidFill>
                        <a:schemeClr val="accent6"/>
                      </a:solidFill>
                    </a:ln>
                  </c:spPr>
                  <c:extLst>
                    <c:ext xmlns:c16="http://schemas.microsoft.com/office/drawing/2014/chart" uri="{C3380CC4-5D6E-409C-BE32-E72D297353CC}">
                      <c16:uniqueId val="{0000001D-2D02-4B57-A1A3-DE60BB1C7892}"/>
                    </c:ext>
                  </c:extLst>
                </c:dPt>
                <c:cat>
                  <c:multiLvlStrRef>
                    <c:extLst>
                      <c:ext uri="{02D57815-91ED-43cb-92C2-25804820EDAC}">
                        <c15:formulaRef>
                          <c15:sqref>'Dados 16x16'!$O$2:$P$18</c15:sqref>
                        </c15:formulaRef>
                      </c:ext>
                    </c:extLst>
                    <c:multiLvlStrCache>
                      <c:ptCount val="17"/>
                      <c:lvl>
                        <c:pt idx="0">
                          <c:v>*ffc*</c:v>
                        </c:pt>
                        <c:pt idx="1">
                          <c:v>*aff*</c:v>
                        </c:pt>
                        <c:pt idx="2">
                          <c:v>*max_regret*</c:v>
                        </c:pt>
                        <c:pt idx="3">
                          <c:v>*max*</c:v>
                        </c:pt>
                        <c:pt idx="4">
                          <c:v>*first_fail*</c:v>
                        </c:pt>
                        <c:pt idx="5">
                          <c:v>*occurrence*</c:v>
                        </c:pt>
                        <c:pt idx="6">
                          <c:v>*min*</c:v>
                        </c:pt>
                        <c:pt idx="7">
                          <c:v>*leftmost*</c:v>
                        </c:pt>
                        <c:pt idx="9">
                          <c:v>*middle*</c:v>
                        </c:pt>
                        <c:pt idx="10">
                          <c:v>*median*</c:v>
                        </c:pt>
                        <c:pt idx="11">
                          <c:v>*bisect*</c:v>
                        </c:pt>
                        <c:pt idx="12">
                          <c:v>*step*</c:v>
                        </c:pt>
                        <c:pt idx="13">
                          <c:v>*enum*</c:v>
                        </c:pt>
                        <c:pt idx="15">
                          <c:v>*up*</c:v>
                        </c:pt>
                        <c:pt idx="16">
                          <c:v>*down*</c:v>
                        </c:pt>
                      </c:lvl>
                      <c:lvl>
                        <c:pt idx="0">
                          <c:v>FFC</c:v>
                        </c:pt>
                        <c:pt idx="1">
                          <c:v>Anti_First_Fail</c:v>
                        </c:pt>
                        <c:pt idx="2">
                          <c:v>Max_regret</c:v>
                        </c:pt>
                        <c:pt idx="3">
                          <c:v>Max</c:v>
                        </c:pt>
                        <c:pt idx="4">
                          <c:v>First_Fail</c:v>
                        </c:pt>
                        <c:pt idx="5">
                          <c:v>Occurrence</c:v>
                        </c:pt>
                        <c:pt idx="6">
                          <c:v>Min</c:v>
                        </c:pt>
                        <c:pt idx="7">
                          <c:v>Leftmost</c:v>
                        </c:pt>
                        <c:pt idx="9">
                          <c:v>Middle</c:v>
                        </c:pt>
                        <c:pt idx="10">
                          <c:v>Median</c:v>
                        </c:pt>
                        <c:pt idx="11">
                          <c:v>Bisect</c:v>
                        </c:pt>
                        <c:pt idx="12">
                          <c:v>Step</c:v>
                        </c:pt>
                        <c:pt idx="13">
                          <c:v>Enum</c:v>
                        </c:pt>
                        <c:pt idx="15">
                          <c:v>Up</c:v>
                        </c:pt>
                        <c:pt idx="16">
                          <c:v>Down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'Dados 16x16'!$Q$2:$Q$18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1716.2285714285713</c:v>
                      </c:pt>
                      <c:pt idx="1">
                        <c:v>1787.2571428571428</c:v>
                      </c:pt>
                      <c:pt idx="2">
                        <c:v>1858.9142857142858</c:v>
                      </c:pt>
                      <c:pt idx="3">
                        <c:v>1868.0571428571427</c:v>
                      </c:pt>
                      <c:pt idx="4">
                        <c:v>1968.2285714285713</c:v>
                      </c:pt>
                      <c:pt idx="5">
                        <c:v>2018.9142857142858</c:v>
                      </c:pt>
                      <c:pt idx="6">
                        <c:v>2063.6000000000004</c:v>
                      </c:pt>
                      <c:pt idx="7">
                        <c:v>2083.0857142857139</c:v>
                      </c:pt>
                      <c:pt idx="9">
                        <c:v>1873.5714285714287</c:v>
                      </c:pt>
                      <c:pt idx="10">
                        <c:v>1887.8928571428571</c:v>
                      </c:pt>
                      <c:pt idx="11">
                        <c:v>1908.1428571428571</c:v>
                      </c:pt>
                      <c:pt idx="12">
                        <c:v>1952.9285714285718</c:v>
                      </c:pt>
                      <c:pt idx="13">
                        <c:v>1985.8571428571429</c:v>
                      </c:pt>
                      <c:pt idx="15">
                        <c:v>1865.8571428571431</c:v>
                      </c:pt>
                      <c:pt idx="16">
                        <c:v>1977.5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7-2D02-4B57-A1A3-DE60BB1C7892}"/>
                  </c:ext>
                </c:extLst>
              </c15:ser>
            </c15:filteredLineSeries>
          </c:ext>
        </c:extLst>
      </c:lineChart>
      <c:catAx>
        <c:axId val="53898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Opções de </a:t>
                </a:r>
                <a:r>
                  <a:rPr lang="en-US" i="1"/>
                  <a:t>Labeling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8264762061810329"/>
              <c:y val="0.8879396325459317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124416"/>
        <c:crosses val="autoZero"/>
        <c:auto val="1"/>
        <c:lblAlgn val="ctr"/>
        <c:lblOffset val="100"/>
        <c:noMultiLvlLbl val="0"/>
      </c:catAx>
      <c:valAx>
        <c:axId val="615124416"/>
        <c:scaling>
          <c:orientation val="minMax"/>
          <c:max val="2100"/>
          <c:min val="1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</a:t>
                </a:r>
                <a:r>
                  <a:rPr lang="en-US" baseline="0"/>
                  <a:t>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98960"/>
        <c:crosses val="autoZero"/>
        <c:crossBetween val="between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4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84420067435357249"/>
          <c:y val="0.28862984196679448"/>
          <c:w val="0.13593454227312496"/>
          <c:h val="0.2511515748031495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8x8 - Diferentes Estratégias de Pesquisa/Seleção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99EC-4AC7-830B-FF9055A166E4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EC-4AC7-830B-FF9055A166E4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chemeClr val="accent2">
                    <a:alpha val="93000"/>
                  </a:schemeClr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EC-4AC7-830B-FF9055A166E4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99EC-4AC7-830B-FF9055A166E4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EC-4AC7-830B-FF9055A166E4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99EC-4AC7-830B-FF9055A166E4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99EC-4AC7-830B-FF9055A166E4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'Analise 16x16'!$D$2:$E$18</c15:sqref>
                  </c15:fullRef>
                  <c15:levelRef>
                    <c15:sqref>'Analise 16x16'!$D$2:$D$18</c15:sqref>
                  </c15:levelRef>
                </c:ext>
              </c:extLst>
              <c:f>'Analise 16x16'!$D$2:$D$18</c:f>
              <c:strCache>
                <c:ptCount val="17"/>
                <c:pt idx="0">
                  <c:v>FFC</c:v>
                </c:pt>
                <c:pt idx="1">
                  <c:v>Max</c:v>
                </c:pt>
                <c:pt idx="2">
                  <c:v>Anti_First_Fail</c:v>
                </c:pt>
                <c:pt idx="3">
                  <c:v>Max_regret</c:v>
                </c:pt>
                <c:pt idx="4">
                  <c:v>Occurrence</c:v>
                </c:pt>
                <c:pt idx="5">
                  <c:v>Leftmost</c:v>
                </c:pt>
                <c:pt idx="6">
                  <c:v>First_Fail</c:v>
                </c:pt>
                <c:pt idx="7">
                  <c:v>Min</c:v>
                </c:pt>
                <c:pt idx="9">
                  <c:v>Middle</c:v>
                </c:pt>
                <c:pt idx="10">
                  <c:v>Median</c:v>
                </c:pt>
                <c:pt idx="11">
                  <c:v>Step</c:v>
                </c:pt>
                <c:pt idx="12">
                  <c:v>Enum</c:v>
                </c:pt>
                <c:pt idx="13">
                  <c:v>Bisect</c:v>
                </c:pt>
                <c:pt idx="15">
                  <c:v>Up</c:v>
                </c:pt>
                <c:pt idx="16">
                  <c:v>Down</c:v>
                </c:pt>
              </c:strCache>
            </c:strRef>
          </c:cat>
          <c:val>
            <c:numRef>
              <c:f>'Analise 16x16'!$F$2:$F$18</c:f>
              <c:numCache>
                <c:formatCode>General</c:formatCode>
                <c:ptCount val="17"/>
                <c:pt idx="0">
                  <c:v>2106.4444444444443</c:v>
                </c:pt>
                <c:pt idx="1">
                  <c:v>2184.2222222222226</c:v>
                </c:pt>
                <c:pt idx="2">
                  <c:v>2212.2222222222222</c:v>
                </c:pt>
                <c:pt idx="3">
                  <c:v>2220.5777777777776</c:v>
                </c:pt>
                <c:pt idx="4">
                  <c:v>2368.7111111111117</c:v>
                </c:pt>
                <c:pt idx="5">
                  <c:v>2500.3111111111111</c:v>
                </c:pt>
                <c:pt idx="6">
                  <c:v>2514.8444444444444</c:v>
                </c:pt>
                <c:pt idx="7">
                  <c:v>2582.7111111111108</c:v>
                </c:pt>
                <c:pt idx="9">
                  <c:v>2137.583333333333</c:v>
                </c:pt>
                <c:pt idx="10">
                  <c:v>2265.4444444444439</c:v>
                </c:pt>
                <c:pt idx="11">
                  <c:v>2326.4444444444448</c:v>
                </c:pt>
                <c:pt idx="12">
                  <c:v>2349.8888888888887</c:v>
                </c:pt>
                <c:pt idx="13">
                  <c:v>2579.1944444444443</c:v>
                </c:pt>
                <c:pt idx="15">
                  <c:v>2212.5000000000005</c:v>
                </c:pt>
                <c:pt idx="16">
                  <c:v>2450.9222222222215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C-4AC7-830B-FF9055A16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6564976"/>
        <c:axId val="1141805088"/>
      </c:lineChart>
      <c:catAx>
        <c:axId val="105656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805088"/>
        <c:crosses val="autoZero"/>
        <c:auto val="1"/>
        <c:lblAlgn val="ctr"/>
        <c:lblOffset val="100"/>
        <c:noMultiLvlLbl val="0"/>
      </c:catAx>
      <c:valAx>
        <c:axId val="1141805088"/>
        <c:scaling>
          <c:orientation val="minMax"/>
          <c:min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56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0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8x8</a:t>
            </a:r>
            <a:r>
              <a:rPr lang="en-US" baseline="0"/>
              <a:t> - Diferentes Estratégias de Pesquisa/Seleção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'Analise 8x8'!$E$2:$E$18</c:f>
              <c:strCache>
                <c:ptCount val="17"/>
                <c:pt idx="0">
                  <c:v>*ffc*</c:v>
                </c:pt>
                <c:pt idx="1">
                  <c:v>*occurrence*</c:v>
                </c:pt>
                <c:pt idx="2">
                  <c:v>*first_fail*</c:v>
                </c:pt>
                <c:pt idx="3">
                  <c:v>*min*</c:v>
                </c:pt>
                <c:pt idx="4">
                  <c:v>*aff*</c:v>
                </c:pt>
                <c:pt idx="5">
                  <c:v>*max_regret*</c:v>
                </c:pt>
                <c:pt idx="6">
                  <c:v>*max*</c:v>
                </c:pt>
                <c:pt idx="7">
                  <c:v>*leftmost*</c:v>
                </c:pt>
                <c:pt idx="9">
                  <c:v>*step*</c:v>
                </c:pt>
                <c:pt idx="10">
                  <c:v>*enum*</c:v>
                </c:pt>
                <c:pt idx="11">
                  <c:v>*bisect*</c:v>
                </c:pt>
                <c:pt idx="12">
                  <c:v>*median*</c:v>
                </c:pt>
                <c:pt idx="13">
                  <c:v>*middle*</c:v>
                </c:pt>
                <c:pt idx="15">
                  <c:v>*up*</c:v>
                </c:pt>
                <c:pt idx="16">
                  <c:v>*down*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FF6D-4858-BB70-B16E53497A12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F6D-4858-BB70-B16E53497A12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FF6D-4858-BB70-B16E53497A12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F6D-4858-BB70-B16E53497A12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FF6D-4858-BB70-B16E53497A12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FF6D-4858-BB70-B16E53497A12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FF6D-4858-BB70-B16E53497A12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FF6D-4858-BB70-B16E53497A12}"/>
              </c:ext>
            </c:extLst>
          </c:dPt>
          <c:cat>
            <c:strRef>
              <c:f>'Analise 8x8'!$D$2:$D$18</c:f>
              <c:strCache>
                <c:ptCount val="17"/>
                <c:pt idx="0">
                  <c:v>FFC</c:v>
                </c:pt>
                <c:pt idx="1">
                  <c:v>Occurrence</c:v>
                </c:pt>
                <c:pt idx="2">
                  <c:v>First_Fail</c:v>
                </c:pt>
                <c:pt idx="3">
                  <c:v>Min</c:v>
                </c:pt>
                <c:pt idx="4">
                  <c:v>Anti_First_Fail</c:v>
                </c:pt>
                <c:pt idx="5">
                  <c:v>Max_regret</c:v>
                </c:pt>
                <c:pt idx="6">
                  <c:v>Max</c:v>
                </c:pt>
                <c:pt idx="7">
                  <c:v>Leftmost</c:v>
                </c:pt>
                <c:pt idx="9">
                  <c:v>Step</c:v>
                </c:pt>
                <c:pt idx="10">
                  <c:v>Enum</c:v>
                </c:pt>
                <c:pt idx="11">
                  <c:v>Bisect</c:v>
                </c:pt>
                <c:pt idx="12">
                  <c:v>Median</c:v>
                </c:pt>
                <c:pt idx="13">
                  <c:v>Middle</c:v>
                </c:pt>
                <c:pt idx="15">
                  <c:v>Up</c:v>
                </c:pt>
                <c:pt idx="16">
                  <c:v>Down</c:v>
                </c:pt>
              </c:strCache>
            </c:strRef>
          </c:cat>
          <c:val>
            <c:numRef>
              <c:f>'Analise 8x8'!$F$2:$F$18</c:f>
              <c:numCache>
                <c:formatCode>General</c:formatCode>
                <c:ptCount val="17"/>
                <c:pt idx="0">
                  <c:v>127.31428571428572</c:v>
                </c:pt>
                <c:pt idx="1">
                  <c:v>132.08163265306123</c:v>
                </c:pt>
                <c:pt idx="2">
                  <c:v>133.64897959183673</c:v>
                </c:pt>
                <c:pt idx="3">
                  <c:v>133.95102040816329</c:v>
                </c:pt>
                <c:pt idx="4">
                  <c:v>141.13877551020408</c:v>
                </c:pt>
                <c:pt idx="5">
                  <c:v>141.26530612244898</c:v>
                </c:pt>
                <c:pt idx="6">
                  <c:v>148.93469387755104</c:v>
                </c:pt>
                <c:pt idx="7">
                  <c:v>163.89387755102041</c:v>
                </c:pt>
                <c:pt idx="9">
                  <c:v>136.18367346938777</c:v>
                </c:pt>
                <c:pt idx="10">
                  <c:v>138.59693877551018</c:v>
                </c:pt>
                <c:pt idx="11">
                  <c:v>140.84438775510205</c:v>
                </c:pt>
                <c:pt idx="12">
                  <c:v>142.86224489795919</c:v>
                </c:pt>
                <c:pt idx="13">
                  <c:v>147.69897959183672</c:v>
                </c:pt>
                <c:pt idx="15">
                  <c:v>139.21428571428572</c:v>
                </c:pt>
                <c:pt idx="16">
                  <c:v>143.26020408163262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6D-4858-BB70-B16E53497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648368"/>
        <c:axId val="1057364496"/>
      </c:lineChart>
      <c:catAx>
        <c:axId val="37064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364496"/>
        <c:crosses val="autoZero"/>
        <c:auto val="1"/>
        <c:lblAlgn val="ctr"/>
        <c:lblOffset val="100"/>
        <c:noMultiLvlLbl val="0"/>
      </c:catAx>
      <c:valAx>
        <c:axId val="1057364496"/>
        <c:scaling>
          <c:orientation val="minMax"/>
          <c:min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4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85563957569882654"/>
          <c:y val="0.35620511334139265"/>
          <c:w val="0.12940847910330547"/>
          <c:h val="0.231251557851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508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865909</xdr:colOff>
      <xdr:row>36</xdr:row>
      <xdr:rowOff>62345</xdr:rowOff>
    </xdr:from>
    <xdr:to>
      <xdr:col>13</xdr:col>
      <xdr:colOff>103909</xdr:colOff>
      <xdr:row>51</xdr:row>
      <xdr:rowOff>103908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3A55701-89F4-4370-96B3-190D91FDDD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388620</xdr:colOff>
      <xdr:row>4</xdr:row>
      <xdr:rowOff>45720</xdr:rowOff>
    </xdr:from>
    <xdr:to>
      <xdr:col>15</xdr:col>
      <xdr:colOff>83820</xdr:colOff>
      <xdr:row>19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3CB878F-012C-4B79-BF96-84469C7790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251460</xdr:colOff>
      <xdr:row>19</xdr:row>
      <xdr:rowOff>38100</xdr:rowOff>
    </xdr:from>
    <xdr:to>
      <xdr:col>17</xdr:col>
      <xdr:colOff>1100546</xdr:colOff>
      <xdr:row>34</xdr:row>
      <xdr:rowOff>5443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F7B1086-7B95-4533-8425-D22D893A22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464819</xdr:colOff>
      <xdr:row>1</xdr:row>
      <xdr:rowOff>76200</xdr:rowOff>
    </xdr:from>
    <xdr:to>
      <xdr:col>17</xdr:col>
      <xdr:colOff>146538</xdr:colOff>
      <xdr:row>16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080F7C-0F3E-409E-BE04-743E3BE052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525780</xdr:colOff>
      <xdr:row>1</xdr:row>
      <xdr:rowOff>91440</xdr:rowOff>
    </xdr:from>
    <xdr:to>
      <xdr:col>8</xdr:col>
      <xdr:colOff>1249680</xdr:colOff>
      <xdr:row>16</xdr:row>
      <xdr:rowOff>91440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FE6726-CFA9-4056-961C-24D2C76BC0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nçalo Santos" refreshedDate="43454.633060300926" createdVersion="6" refreshedVersion="6" minRefreshableVersion="3" recordCount="50" xr:uid="{8AB57E8E-1AFF-4E66-8E6A-73166128D275}">
  <cacheSource type="worksheet">
    <worksheetSource name="_8x8"/>
  </cacheSource>
  <cacheFields count="80">
    <cacheField name="8_anti_first_fail_bisect_down.csv" numFmtId="0">
      <sharedItems containsSemiMixedTypes="0" containsString="0" containsNumber="1" containsInteger="1" minValue="112" maxValue="208"/>
    </cacheField>
    <cacheField name="8_anti_first_fail_bisect_up.csv" numFmtId="0">
      <sharedItems containsString="0" containsBlank="1" containsNumber="1" containsInteger="1" minValue="108" maxValue="236"/>
    </cacheField>
    <cacheField name="8_anti_first_fail_enum_down.csv" numFmtId="0">
      <sharedItems containsString="0" containsBlank="1" containsNumber="1" containsInteger="1" minValue="108" maxValue="384"/>
    </cacheField>
    <cacheField name="8_anti_first_fail_enum_up.csv" numFmtId="0">
      <sharedItems containsString="0" containsBlank="1" containsNumber="1" containsInteger="1" minValue="112" maxValue="180"/>
    </cacheField>
    <cacheField name="8_anti_first_fail_median_down.csv" numFmtId="0">
      <sharedItems containsString="0" containsBlank="1" containsNumber="1" containsInteger="1" minValue="100" maxValue="204"/>
    </cacheField>
    <cacheField name="8_anti_first_fail_median_up.csv" numFmtId="0">
      <sharedItems containsString="0" containsBlank="1" containsNumber="1" containsInteger="1" minValue="108" maxValue="184"/>
    </cacheField>
    <cacheField name="8_anti_first_fail_middle_down.csv" numFmtId="0">
      <sharedItems containsString="0" containsBlank="1" containsNumber="1" containsInteger="1" minValue="116" maxValue="208"/>
    </cacheField>
    <cacheField name="8_anti_first_fail_middle_up.csv" numFmtId="0">
      <sharedItems containsString="0" containsBlank="1" containsNumber="1" containsInteger="1" minValue="120" maxValue="292"/>
    </cacheField>
    <cacheField name="8_anti_first_fail_step_down.csv" numFmtId="0">
      <sharedItems containsString="0" containsBlank="1" containsNumber="1" containsInteger="1" minValue="108" maxValue="208"/>
    </cacheField>
    <cacheField name="8_anti_first_fail_step_up.csv" numFmtId="0">
      <sharedItems containsString="0" containsBlank="1" containsNumber="1" containsInteger="1" minValue="104" maxValue="164"/>
    </cacheField>
    <cacheField name="8_ffc_bisect_down.csv" numFmtId="0">
      <sharedItems containsString="0" containsBlank="1" containsNumber="1" containsInteger="1" minValue="108" maxValue="212"/>
    </cacheField>
    <cacheField name="8_ffc_bisect_up.csv" numFmtId="0">
      <sharedItems containsString="0" containsBlank="1" containsNumber="1" containsInteger="1" minValue="108" maxValue="144"/>
    </cacheField>
    <cacheField name="8_ffc_enum_down.csv" numFmtId="0">
      <sharedItems containsString="0" containsBlank="1" containsNumber="1" containsInteger="1" minValue="108" maxValue="212"/>
    </cacheField>
    <cacheField name="8_ffc_enum_up.csv" numFmtId="0">
      <sharedItems containsString="0" containsBlank="1" containsNumber="1" containsInteger="1" minValue="100" maxValue="152"/>
    </cacheField>
    <cacheField name="8_ffc_median_down.csv" numFmtId="0">
      <sharedItems containsString="0" containsBlank="1" containsNumber="1" containsInteger="1" minValue="108" maxValue="188"/>
    </cacheField>
    <cacheField name="8_ffc_median_up.csv" numFmtId="0">
      <sharedItems containsString="0" containsBlank="1" containsNumber="1" containsInteger="1" minValue="104" maxValue="160"/>
    </cacheField>
    <cacheField name="8_ffc_middle_down.csv" numFmtId="0">
      <sharedItems containsString="0" containsBlank="1" containsNumber="1" containsInteger="1" minValue="112" maxValue="192"/>
    </cacheField>
    <cacheField name="8_ffc_middle_up.csv" numFmtId="0">
      <sharedItems containsString="0" containsBlank="1" containsNumber="1" containsInteger="1" minValue="112" maxValue="152"/>
    </cacheField>
    <cacheField name="8_ffc_step_down.csv" numFmtId="0">
      <sharedItems containsString="0" containsBlank="1" containsNumber="1" containsInteger="1" minValue="112" maxValue="160"/>
    </cacheField>
    <cacheField name="8_ffc_step_up.csv" numFmtId="0">
      <sharedItems containsString="0" containsBlank="1" containsNumber="1" containsInteger="1" minValue="104" maxValue="184"/>
    </cacheField>
    <cacheField name="8_first_fail_bisect_down.csv" numFmtId="0">
      <sharedItems containsString="0" containsBlank="1" containsNumber="1" containsInteger="1" minValue="116" maxValue="216"/>
    </cacheField>
    <cacheField name="8_first_fail_bisect_up.csv" numFmtId="0">
      <sharedItems containsString="0" containsBlank="1" containsNumber="1" containsInteger="1" minValue="104" maxValue="188"/>
    </cacheField>
    <cacheField name="8_first_fail_enum_down.csv" numFmtId="0">
      <sharedItems containsString="0" containsBlank="1" containsNumber="1" containsInteger="1" minValue="112" maxValue="168"/>
    </cacheField>
    <cacheField name="8_first_fail_enum_up.csv" numFmtId="0">
      <sharedItems containsString="0" containsBlank="1" containsNumber="1" containsInteger="1" minValue="112" maxValue="280"/>
    </cacheField>
    <cacheField name="8_first_fail_median_down.csv" numFmtId="0">
      <sharedItems containsString="0" containsBlank="1" containsNumber="1" containsInteger="1" minValue="108" maxValue="232"/>
    </cacheField>
    <cacheField name="8_first_fail_median_up.csv" numFmtId="0">
      <sharedItems containsString="0" containsBlank="1" containsNumber="1" containsInteger="1" minValue="120" maxValue="188"/>
    </cacheField>
    <cacheField name="8_first_fail_middle_down.csv" numFmtId="0">
      <sharedItems containsString="0" containsBlank="1" containsNumber="1" containsInteger="1" minValue="104" maxValue="176"/>
    </cacheField>
    <cacheField name="8_first_fail_middle_up.csv" numFmtId="0">
      <sharedItems containsString="0" containsBlank="1" containsNumber="1" containsInteger="1" minValue="104" maxValue="184"/>
    </cacheField>
    <cacheField name="8_first_fail_step_down.csv" numFmtId="0">
      <sharedItems containsString="0" containsBlank="1" containsNumber="1" containsInteger="1" minValue="108" maxValue="244"/>
    </cacheField>
    <cacheField name="8_first_fail_step_up.csv" numFmtId="0">
      <sharedItems containsString="0" containsBlank="1" containsNumber="1" containsInteger="1" minValue="112" maxValue="160"/>
    </cacheField>
    <cacheField name="8_leftmost_bisect_down.csv" numFmtId="0">
      <sharedItems containsString="0" containsBlank="1" containsNumber="1" containsInteger="1" minValue="112" maxValue="316"/>
    </cacheField>
    <cacheField name="8_leftmost_bisect_up.csv" numFmtId="0">
      <sharedItems containsString="0" containsBlank="1" containsNumber="1" containsInteger="1" minValue="104" maxValue="316"/>
    </cacheField>
    <cacheField name="8_leftmost_enum_down.csv" numFmtId="0">
      <sharedItems containsString="0" containsBlank="1" containsNumber="1" containsInteger="1" minValue="108" maxValue="384"/>
    </cacheField>
    <cacheField name="8_leftmost_enum_up.csv" numFmtId="0">
      <sharedItems containsString="0" containsBlank="1" containsNumber="1" containsInteger="1" minValue="108" maxValue="300"/>
    </cacheField>
    <cacheField name="8_leftmost_median_down.csv" numFmtId="0">
      <sharedItems containsString="0" containsBlank="1" containsNumber="1" containsInteger="1" minValue="112" maxValue="328"/>
    </cacheField>
    <cacheField name="8_leftmost_median_up.csv" numFmtId="0">
      <sharedItems containsString="0" containsBlank="1" containsNumber="1" containsInteger="1" minValue="116" maxValue="336"/>
    </cacheField>
    <cacheField name="8_leftmost_middle_down.csv" numFmtId="0">
      <sharedItems containsString="0" containsBlank="1" containsNumber="1" containsInteger="1" minValue="112" maxValue="352"/>
    </cacheField>
    <cacheField name="8_leftmost_middle_up.csv" numFmtId="0">
      <sharedItems containsString="0" containsBlank="1" containsNumber="1" containsInteger="1" minValue="112" maxValue="316"/>
    </cacheField>
    <cacheField name="8_leftmost_step_down.csv" numFmtId="0">
      <sharedItems containsString="0" containsBlank="1" containsNumber="1" containsInteger="1" minValue="112" maxValue="312"/>
    </cacheField>
    <cacheField name="8_leftmost_step_up.csv" numFmtId="0">
      <sharedItems containsString="0" containsBlank="1" containsNumber="1" containsInteger="1" minValue="112" maxValue="300"/>
    </cacheField>
    <cacheField name="8_max_bisect_down.csv" numFmtId="0">
      <sharedItems containsString="0" containsBlank="1" containsNumber="1" containsInteger="1" minValue="116" maxValue="252"/>
    </cacheField>
    <cacheField name="8_max_bisect_up.csv" numFmtId="0">
      <sharedItems containsString="0" containsBlank="1" containsNumber="1" containsInteger="1" minValue="108" maxValue="248"/>
    </cacheField>
    <cacheField name="8_max_enum_down.csv" numFmtId="0">
      <sharedItems containsString="0" containsBlank="1" containsNumber="1" containsInteger="1" minValue="108" maxValue="260"/>
    </cacheField>
    <cacheField name="8_max_enum_up.csv" numFmtId="0">
      <sharedItems containsString="0" containsBlank="1" containsNumber="1" containsInteger="1" minValue="108" maxValue="228"/>
    </cacheField>
    <cacheField name="8_max_median_down.csv" numFmtId="0">
      <sharedItems containsString="0" containsBlank="1" containsNumber="1" containsInteger="1" minValue="116" maxValue="256"/>
    </cacheField>
    <cacheField name="8_max_median_up.csv" numFmtId="0">
      <sharedItems containsString="0" containsBlank="1" containsNumber="1" containsInteger="1" minValue="116" maxValue="252"/>
    </cacheField>
    <cacheField name="8_max_middle_down.csv" numFmtId="0">
      <sharedItems containsString="0" containsBlank="1" containsNumber="1" containsInteger="1" minValue="108" maxValue="400"/>
    </cacheField>
    <cacheField name="8_max_middle_up.csv" numFmtId="0">
      <sharedItems containsString="0" containsBlank="1" containsNumber="1" containsInteger="1" minValue="120" maxValue="264"/>
    </cacheField>
    <cacheField name="8_max_regret_bisect_down.csv" numFmtId="0">
      <sharedItems containsString="0" containsBlank="1" containsNumber="1" containsInteger="1" minValue="104" maxValue="284"/>
    </cacheField>
    <cacheField name="8_max_regret_bisect_up.csv" numFmtId="0">
      <sharedItems containsString="0" containsBlank="1" containsNumber="1" containsInteger="1" minValue="108" maxValue="280"/>
    </cacheField>
    <cacheField name="8_max_regret_enum_down.csv" numFmtId="0">
      <sharedItems containsString="0" containsBlank="1" containsNumber="1" containsInteger="1" minValue="104" maxValue="292"/>
    </cacheField>
    <cacheField name="8_max_regret_enum_up.csv" numFmtId="0">
      <sharedItems containsString="0" containsBlank="1" containsNumber="1" containsInteger="1" minValue="108" maxValue="260"/>
    </cacheField>
    <cacheField name="8_max_regret_median_down.csv" numFmtId="0">
      <sharedItems containsString="0" containsBlank="1" containsNumber="1" containsInteger="1" minValue="104" maxValue="312"/>
    </cacheField>
    <cacheField name="8_max_regret_median_up.csv" numFmtId="0">
      <sharedItems containsString="0" containsBlank="1" containsNumber="1" containsInteger="1" minValue="104" maxValue="264"/>
    </cacheField>
    <cacheField name="8_max_regret_middle_down.csv" numFmtId="0">
      <sharedItems containsString="0" containsBlank="1" containsNumber="1" containsInteger="1" minValue="108" maxValue="308"/>
    </cacheField>
    <cacheField name="8_max_regret_middle_up.csv" numFmtId="0">
      <sharedItems containsString="0" containsBlank="1" containsNumber="1" containsInteger="1" minValue="108" maxValue="268"/>
    </cacheField>
    <cacheField name="8_max_regret_step_down.csv" numFmtId="0">
      <sharedItems containsString="0" containsBlank="1" containsNumber="1" containsInteger="1" minValue="104" maxValue="260"/>
    </cacheField>
    <cacheField name="8_max_regret_step_up.csv" numFmtId="0">
      <sharedItems containsString="0" containsBlank="1" containsNumber="1" containsInteger="1" minValue="112" maxValue="256"/>
    </cacheField>
    <cacheField name="8_max_step_down.csv" numFmtId="0">
      <sharedItems containsString="0" containsBlank="1" containsNumber="1" containsInteger="1" minValue="116" maxValue="244"/>
    </cacheField>
    <cacheField name="8_max_step_up.csv" numFmtId="0">
      <sharedItems containsString="0" containsBlank="1" containsNumber="1" containsInteger="1" minValue="112" maxValue="240"/>
    </cacheField>
    <cacheField name="8_min_bisect_down.csv" numFmtId="0">
      <sharedItems containsString="0" containsBlank="1" containsNumber="1" containsInteger="1" minValue="104" maxValue="224"/>
    </cacheField>
    <cacheField name="8_min_bisect_up.csv" numFmtId="0">
      <sharedItems containsString="0" containsBlank="1" containsNumber="1" containsInteger="1" minValue="108" maxValue="228"/>
    </cacheField>
    <cacheField name="8_min_enum_down.csv" numFmtId="0">
      <sharedItems containsString="0" containsBlank="1" containsNumber="1" containsInteger="1" minValue="108" maxValue="196"/>
    </cacheField>
    <cacheField name="8_min_enum_up.csv" numFmtId="0">
      <sharedItems containsString="0" containsBlank="1" containsNumber="1" containsInteger="1" minValue="108" maxValue="248"/>
    </cacheField>
    <cacheField name="8_min_median_down.csv" numFmtId="0">
      <sharedItems containsString="0" containsBlank="1" containsNumber="1" containsInteger="1" minValue="112" maxValue="240"/>
    </cacheField>
    <cacheField name="8_min_median_up.csv" numFmtId="0">
      <sharedItems containsString="0" containsBlank="1" containsNumber="1" containsInteger="1" minValue="108" maxValue="244"/>
    </cacheField>
    <cacheField name="8_min_middle_down.csv" numFmtId="0">
      <sharedItems containsString="0" containsBlank="1" containsNumber="1" containsInteger="1" minValue="108" maxValue="228"/>
    </cacheField>
    <cacheField name="8_min_middle_up.csv" numFmtId="0">
      <sharedItems containsString="0" containsBlank="1" containsNumber="1" containsInteger="1" minValue="104" maxValue="252"/>
    </cacheField>
    <cacheField name="8_min_step_down.csv" numFmtId="0">
      <sharedItems containsString="0" containsBlank="1" containsNumber="1" containsInteger="1" minValue="116" maxValue="204"/>
    </cacheField>
    <cacheField name="8_min_step_up.csv" numFmtId="0">
      <sharedItems containsString="0" containsBlank="1" containsNumber="1" containsInteger="1" minValue="112" maxValue="200"/>
    </cacheField>
    <cacheField name="8_occurrence_bisect_down.csv" numFmtId="0">
      <sharedItems containsString="0" containsBlank="1" containsNumber="1" containsInteger="1" minValue="112" maxValue="244"/>
    </cacheField>
    <cacheField name="8_occurrence_bisect_up.csv" numFmtId="0">
      <sharedItems containsString="0" containsBlank="1" containsNumber="1" containsInteger="1" minValue="108" maxValue="176"/>
    </cacheField>
    <cacheField name="8_occurrence_enum_down.csv" numFmtId="0">
      <sharedItems containsString="0" containsBlank="1" containsNumber="1" containsInteger="1" minValue="112" maxValue="240"/>
    </cacheField>
    <cacheField name="8_occurrence_enum_up.csv" numFmtId="0">
      <sharedItems containsString="0" containsBlank="1" containsNumber="1" containsInteger="1" minValue="104" maxValue="256"/>
    </cacheField>
    <cacheField name="8_occurrence_median_down.csv" numFmtId="0">
      <sharedItems containsString="0" containsBlank="1" containsNumber="1" containsInteger="1" minValue="100" maxValue="252"/>
    </cacheField>
    <cacheField name="8_occurrence_median_up.csv" numFmtId="0">
      <sharedItems containsString="0" containsBlank="1" containsNumber="1" containsInteger="1" minValue="108" maxValue="260"/>
    </cacheField>
    <cacheField name="8_occurrence_middle_down.csv" numFmtId="0">
      <sharedItems containsString="0" containsBlank="1" containsNumber="1" containsInteger="1" minValue="108" maxValue="272"/>
    </cacheField>
    <cacheField name="8_occurrence_middle_up.csv" numFmtId="0">
      <sharedItems containsString="0" containsBlank="1" containsNumber="1" containsInteger="1" minValue="108" maxValue="240"/>
    </cacheField>
    <cacheField name="8_occurrence_step_down.csv" numFmtId="0">
      <sharedItems containsString="0" containsBlank="1" containsNumber="1" containsInteger="1" minValue="116" maxValue="184"/>
    </cacheField>
    <cacheField name="8_occurrence_step_up.csv" numFmtId="0">
      <sharedItems containsString="0" containsBlank="1" containsNumber="1" containsInteger="1" minValue="108" maxValue="244"/>
    </cacheField>
  </cacheFields>
  <extLst>
    <ext xmlns:x14="http://schemas.microsoft.com/office/spreadsheetml/2009/9/main" uri="{725AE2AE-9491-48be-B2B4-4EB974FC3084}">
      <x14:pivotCacheDefinition pivotCacheId="199499342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onçalo Santos" refreshedDate="43454.67616354167" createdVersion="6" refreshedVersion="6" minRefreshableVersion="3" recordCount="10" xr:uid="{8654F9FF-333A-4E7C-99AE-A93A6C6BA147}">
  <cacheSource type="worksheet">
    <worksheetSource name="_10X"/>
  </cacheSource>
  <cacheFields count="80">
    <cacheField name="16_anti_first_fail_bisect_down.csv" numFmtId="0">
      <sharedItems containsString="0" containsBlank="1" containsNumber="1" containsInteger="1" minValue="1280" maxValue="30464"/>
    </cacheField>
    <cacheField name="16_anti_first_fail_bisect_up.csv" numFmtId="0">
      <sharedItems containsString="0" containsBlank="1" containsNumber="1" containsInteger="1" minValue="1344" maxValue="4472"/>
    </cacheField>
    <cacheField name="16_anti_first_fail_enum_down.csv" numFmtId="0">
      <sharedItems containsString="0" containsBlank="1" containsNumber="1" containsInteger="1" minValue="1464" maxValue="3376"/>
    </cacheField>
    <cacheField name="16_anti_first_fail_enum_up.csv" numFmtId="0">
      <sharedItems containsString="0" containsBlank="1" containsNumber="1" containsInteger="1" minValue="1372" maxValue="2136"/>
    </cacheField>
    <cacheField name="16_anti_first_fail_median_down.csv" numFmtId="0">
      <sharedItems containsString="0" containsBlank="1" containsNumber="1" containsInteger="1" minValue="1372" maxValue="2512"/>
    </cacheField>
    <cacheField name="16_anti_first_fail_median_up.csv" numFmtId="0">
      <sharedItems containsString="0" containsBlank="1" containsNumber="1" containsInteger="1" minValue="1300" maxValue="3328"/>
    </cacheField>
    <cacheField name="16_anti_first_fail_middle_down.csv" numFmtId="0">
      <sharedItems containsString="0" containsBlank="1" containsNumber="1" containsInteger="1" minValue="1276" maxValue="5396"/>
    </cacheField>
    <cacheField name="16_anti_first_fail_middle_up.csv" numFmtId="0">
      <sharedItems containsString="0" containsBlank="1" containsNumber="1" containsInteger="1" minValue="1384" maxValue="1940"/>
    </cacheField>
    <cacheField name="16_anti_first_fail_step_down.csv" numFmtId="0">
      <sharedItems containsString="0" containsBlank="1" containsNumber="1" containsInteger="1" minValue="1516" maxValue="4596"/>
    </cacheField>
    <cacheField name="16_anti_first_fail_step_up.csv" numFmtId="0">
      <sharedItems containsString="0" containsBlank="1" containsNumber="1" containsInteger="1" minValue="1316" maxValue="2148"/>
    </cacheField>
    <cacheField name="16_ffc_bisect_down.csv" numFmtId="0">
      <sharedItems containsString="0" containsBlank="1" containsNumber="1" containsInteger="1" minValue="1300" maxValue="5632"/>
    </cacheField>
    <cacheField name="16_ffc_bisect_up.csv" numFmtId="0">
      <sharedItems containsString="0" containsBlank="1" containsNumber="1" containsInteger="1" minValue="1324" maxValue="11948"/>
    </cacheField>
    <cacheField name="16_ffc_enum_down.csv" numFmtId="0">
      <sharedItems containsString="0" containsBlank="1" containsNumber="1" containsInteger="1" minValue="1280" maxValue="6296"/>
    </cacheField>
    <cacheField name="16_ffc_enum_up.csv" numFmtId="0">
      <sharedItems containsString="0" containsBlank="1" containsNumber="1" containsInteger="1" minValue="1268" maxValue="2048"/>
    </cacheField>
    <cacheField name="16_ffc_median_down.csv" numFmtId="0">
      <sharedItems containsString="0" containsBlank="1" containsNumber="1" containsInteger="1" minValue="1240" maxValue="5292"/>
    </cacheField>
    <cacheField name="16_ffc_median_up.csv" numFmtId="0">
      <sharedItems containsString="0" containsBlank="1" containsNumber="1" containsInteger="1" minValue="1364" maxValue="7784"/>
    </cacheField>
    <cacheField name="16_ffc_middle_down.csv" numFmtId="0">
      <sharedItems containsString="0" containsBlank="1" containsNumber="1" containsInteger="1" minValue="1316" maxValue="6192"/>
    </cacheField>
    <cacheField name="16_ffc_middle_up.csv" numFmtId="0">
      <sharedItems containsString="0" containsBlank="1" containsNumber="1" containsInteger="1" minValue="1388" maxValue="4380"/>
    </cacheField>
    <cacheField name="16_ffc_step_down.csv" numFmtId="0">
      <sharedItems containsString="0" containsBlank="1" containsNumber="1" containsInteger="1" minValue="1268" maxValue="1864"/>
    </cacheField>
    <cacheField name="16_ffc_step_up.csv" numFmtId="0">
      <sharedItems containsString="0" containsBlank="1" containsNumber="1" containsInteger="1" minValue="1304" maxValue="4956"/>
    </cacheField>
    <cacheField name="16_first_fail_bisect_down.csv" numFmtId="0">
      <sharedItems containsString="0" containsBlank="1" containsNumber="1" containsInteger="1" minValue="1456" maxValue="4436"/>
    </cacheField>
    <cacheField name="16_first_fail_bisect_up.csv" numFmtId="0">
      <sharedItems containsString="0" containsBlank="1" containsNumber="1" containsInteger="1" minValue="1468" maxValue="31908"/>
    </cacheField>
    <cacheField name="16_first_fail_enum_down.csv" numFmtId="0">
      <sharedItems containsString="0" containsBlank="1" containsNumber="1" containsInteger="1" minValue="1392" maxValue="4108"/>
    </cacheField>
    <cacheField name="16_first_fail_enum_up.csv" numFmtId="0">
      <sharedItems containsString="0" containsBlank="1" containsNumber="1" containsInteger="1" minValue="1324" maxValue="6668"/>
    </cacheField>
    <cacheField name="16_first_fail_median_down.csv" numFmtId="0">
      <sharedItems containsString="0" containsBlank="1" containsNumber="1" containsInteger="1" minValue="1448" maxValue="5352"/>
    </cacheField>
    <cacheField name="16_first_fail_median_up.csv" numFmtId="0">
      <sharedItems containsString="0" containsBlank="1" containsNumber="1" containsInteger="1" minValue="1308" maxValue="4008"/>
    </cacheField>
    <cacheField name="16_first_fail_middle_down.csv" numFmtId="0">
      <sharedItems containsString="0" containsBlank="1" containsNumber="1" containsInteger="1" minValue="1676" maxValue="9008"/>
    </cacheField>
    <cacheField name="16_first_fail_middle_up.csv" numFmtId="0">
      <sharedItems containsString="0" containsBlank="1" containsNumber="1" containsInteger="1" minValue="1380" maxValue="2348"/>
    </cacheField>
    <cacheField name="16_first_fail_step_down.csv" numFmtId="0">
      <sharedItems containsString="0" containsBlank="1" containsNumber="1" containsInteger="1" minValue="1224" maxValue="4068"/>
    </cacheField>
    <cacheField name="16_first_fail_step_up.csv" numFmtId="0">
      <sharedItems containsString="0" containsBlank="1" containsNumber="1" containsInteger="1" minValue="1368" maxValue="2612"/>
    </cacheField>
    <cacheField name="16_leftmost_bisect_down.csv" numFmtId="0">
      <sharedItems containsString="0" containsBlank="1" containsNumber="1" containsInteger="1" minValue="1260" maxValue="6496"/>
    </cacheField>
    <cacheField name="16_leftmost_bisect_up.csv" numFmtId="0">
      <sharedItems containsString="0" containsBlank="1" containsNumber="1" containsInteger="1" minValue="1296" maxValue="1696"/>
    </cacheField>
    <cacheField name="16_leftmost_enum_down.csv" numFmtId="0">
      <sharedItems containsString="0" containsBlank="1" containsNumber="1" containsInteger="1" minValue="1712" maxValue="16160"/>
    </cacheField>
    <cacheField name="16_leftmost_enum_up.csv" numFmtId="0">
      <sharedItems containsString="0" containsBlank="1" containsNumber="1" containsInteger="1" minValue="1184" maxValue="4168"/>
    </cacheField>
    <cacheField name="16_leftmost_median_down.csv" numFmtId="0">
      <sharedItems containsString="0" containsBlank="1" containsNumber="1" containsInteger="1" minValue="1404" maxValue="9240"/>
    </cacheField>
    <cacheField name="16_leftmost_median_up.csv" numFmtId="0">
      <sharedItems containsString="0" containsBlank="1" containsNumber="1" containsInteger="1" minValue="1284" maxValue="1952"/>
    </cacheField>
    <cacheField name="16_leftmost_middle_down.csv" numFmtId="0">
      <sharedItems containsString="0" containsBlank="1" containsNumber="1" containsInteger="1" minValue="1436" maxValue="10160"/>
    </cacheField>
    <cacheField name="16_leftmost_middle_up.csv" numFmtId="0">
      <sharedItems containsString="0" containsBlank="1" containsNumber="1" containsInteger="1" minValue="1296" maxValue="2608"/>
    </cacheField>
    <cacheField name="16_leftmost_step_down.csv" numFmtId="0">
      <sharedItems containsString="0" containsBlank="1" containsNumber="1" containsInteger="1" minValue="1552" maxValue="8192"/>
    </cacheField>
    <cacheField name="16_leftmost_step_up.csv" numFmtId="0">
      <sharedItems containsString="0" containsBlank="1" containsNumber="1" containsInteger="1" minValue="1576" maxValue="4540"/>
    </cacheField>
    <cacheField name="16_max_bisect_down.csv" numFmtId="0">
      <sharedItems containsString="0" containsBlank="1" containsNumber="1" containsInteger="1" minValue="1308" maxValue="11628"/>
    </cacheField>
    <cacheField name="16_max_bisect_up.csv" numFmtId="0">
      <sharedItems containsString="0" containsBlank="1" containsNumber="1" containsInteger="1" minValue="1320" maxValue="2584"/>
    </cacheField>
    <cacheField name="16_max_enum_down.csv" numFmtId="0">
      <sharedItems containsString="0" containsBlank="1" containsNumber="1" containsInteger="1" minValue="1336" maxValue="5312"/>
    </cacheField>
    <cacheField name="16_max_enum_up.csv" numFmtId="0">
      <sharedItems containsString="0" containsBlank="1" containsNumber="1" containsInteger="1" minValue="1348" maxValue="2372"/>
    </cacheField>
    <cacheField name="16_max_median_down.csv" numFmtId="0">
      <sharedItems containsString="0" containsBlank="1" containsNumber="1" containsInteger="1" minValue="1444" maxValue="10676"/>
    </cacheField>
    <cacheField name="16_max_median_up.csv" numFmtId="0">
      <sharedItems containsString="0" containsBlank="1" containsNumber="1" containsInteger="1" minValue="1284" maxValue="2524"/>
    </cacheField>
    <cacheField name="16_max_middle_down.csv" numFmtId="0">
      <sharedItems containsString="0" containsBlank="1" containsNumber="1" containsInteger="1" minValue="1496" maxValue="3468"/>
    </cacheField>
    <cacheField name="16_max_middle_up.csv" numFmtId="0">
      <sharedItems containsString="0" containsBlank="1" containsNumber="1" containsInteger="1" minValue="1340" maxValue="2192"/>
    </cacheField>
    <cacheField name="16_max_regret_bisect_down.csv" numFmtId="0">
      <sharedItems containsString="0" containsBlank="1" containsNumber="1" containsInteger="1" minValue="1536" maxValue="2440"/>
    </cacheField>
    <cacheField name="16_max_regret_bisect_up.csv" numFmtId="0">
      <sharedItems containsString="0" containsBlank="1" containsNumber="1" containsInteger="1" minValue="1428" maxValue="2632"/>
    </cacheField>
    <cacheField name="16_max_regret_enum_down.csv" numFmtId="0">
      <sharedItems containsString="0" containsBlank="1" containsNumber="1" containsInteger="1" minValue="1420" maxValue="5008"/>
    </cacheField>
    <cacheField name="16_max_regret_enum_up.csv" numFmtId="0">
      <sharedItems containsString="0" containsBlank="1" containsNumber="1" containsInteger="1" minValue="1232" maxValue="6436"/>
    </cacheField>
    <cacheField name="16_max_regret_median_down.csv" numFmtId="0">
      <sharedItems containsString="0" containsBlank="1" containsNumber="1" containsInteger="1" minValue="1456" maxValue="2152"/>
    </cacheField>
    <cacheField name="16_max_regret_median_up.csv" numFmtId="0">
      <sharedItems containsString="0" containsBlank="1" containsNumber="1" containsInteger="1" minValue="1460" maxValue="12552"/>
    </cacheField>
    <cacheField name="16_max_regret_middle_down.csv" numFmtId="0">
      <sharedItems containsString="0" containsBlank="1" containsNumber="1" containsInteger="1" minValue="1700" maxValue="3724"/>
    </cacheField>
    <cacheField name="16_max_regret_middle_up.csv" numFmtId="0">
      <sharedItems containsString="0" containsBlank="1" containsNumber="1" containsInteger="1" minValue="1384" maxValue="6344"/>
    </cacheField>
    <cacheField name="16_max_regret_step_down.csv" numFmtId="0">
      <sharedItems containsString="0" containsBlank="1" containsNumber="1" containsInteger="1" minValue="1516" maxValue="6412"/>
    </cacheField>
    <cacheField name="16_max_regret_step_up.csv" numFmtId="0">
      <sharedItems containsString="0" containsBlank="1" containsNumber="1" containsInteger="1" minValue="1392" maxValue="7504"/>
    </cacheField>
    <cacheField name="16_max_step_down.csv" numFmtId="0">
      <sharedItems containsString="0" containsBlank="1" containsNumber="1" containsInteger="1" minValue="1512" maxValue="4740"/>
    </cacheField>
    <cacheField name="16_max_step_up.csv" numFmtId="0">
      <sharedItems containsString="0" containsBlank="1" containsNumber="1" containsInteger="1" minValue="1480" maxValue="2540"/>
    </cacheField>
    <cacheField name="16_min_bisect_down.csv" numFmtId="0">
      <sharedItems containsString="0" containsBlank="1" containsNumber="1" containsInteger="1" minValue="1364" maxValue="2740"/>
    </cacheField>
    <cacheField name="16_min_bisect_up.csv" numFmtId="0">
      <sharedItems containsString="0" containsBlank="1" containsNumber="1" containsInteger="1" minValue="1288" maxValue="4084"/>
    </cacheField>
    <cacheField name="16_min_enum_down.csv" numFmtId="0">
      <sharedItems containsString="0" containsBlank="1" containsNumber="1" containsInteger="1" minValue="1352" maxValue="2084"/>
    </cacheField>
    <cacheField name="16_min_enum_up.csv" numFmtId="0">
      <sharedItems containsString="0" containsBlank="1" containsNumber="1" containsInteger="1" minValue="1440" maxValue="21128"/>
    </cacheField>
    <cacheField name="16_min_median_down.csv" numFmtId="0">
      <sharedItems containsString="0" containsBlank="1" containsNumber="1" containsInteger="1" minValue="1376" maxValue="2140"/>
    </cacheField>
    <cacheField name="16_min_median_up.csv" numFmtId="0">
      <sharedItems containsString="0" containsBlank="1" containsNumber="1" containsInteger="1" minValue="1476" maxValue="4488"/>
    </cacheField>
    <cacheField name="16_min_middle_down.csv" numFmtId="0">
      <sharedItems containsString="0" containsBlank="1" containsNumber="1" containsInteger="1" minValue="1416" maxValue="2344"/>
    </cacheField>
    <cacheField name="16_min_middle_up.csv" numFmtId="0">
      <sharedItems containsString="0" containsBlank="1" containsNumber="1" containsInteger="1" minValue="1392" maxValue="3656"/>
    </cacheField>
    <cacheField name="16_min_step_down.csv" numFmtId="0">
      <sharedItems containsString="0" containsBlank="1" containsNumber="1" containsInteger="1" minValue="1396" maxValue="27888"/>
    </cacheField>
    <cacheField name="16_min_step_up.csv" numFmtId="0">
      <sharedItems containsString="0" containsBlank="1" containsNumber="1" containsInteger="1" minValue="1336" maxValue="3604"/>
    </cacheField>
    <cacheField name="16_occurrence_bisect_down.csv" numFmtId="0">
      <sharedItems containsString="0" containsBlank="1" containsNumber="1" containsInteger="1" minValue="1268" maxValue="4024"/>
    </cacheField>
    <cacheField name="16_occurrence_bisect_up.csv" numFmtId="0">
      <sharedItems containsString="0" containsBlank="1" containsNumber="1" containsInteger="1" minValue="1428" maxValue="8840"/>
    </cacheField>
    <cacheField name="16_occurrence_enum_down.csv" numFmtId="0">
      <sharedItems containsString="0" containsBlank="1" containsNumber="1" containsInteger="1" minValue="1300" maxValue="3160"/>
    </cacheField>
    <cacheField name="16_occurrence_enum_up.csv" numFmtId="0">
      <sharedItems containsString="0" containsBlank="1" containsNumber="1" containsInteger="1" minValue="1372" maxValue="3712"/>
    </cacheField>
    <cacheField name="16_occurrence_median_down.csv" numFmtId="0">
      <sharedItems containsString="0" containsBlank="1" containsNumber="1" containsInteger="1" minValue="1584" maxValue="15520"/>
    </cacheField>
    <cacheField name="16_occurrence_median_up.csv" numFmtId="0">
      <sharedItems containsString="0" containsBlank="1" containsNumber="1" containsInteger="1" minValue="1360" maxValue="3100"/>
    </cacheField>
    <cacheField name="16_occurrence_middle_down.csv" numFmtId="0">
      <sharedItems containsString="0" containsBlank="1" containsNumber="1" containsInteger="1" minValue="1476" maxValue="4144"/>
    </cacheField>
    <cacheField name="16_occurrence_middle_up.csv" numFmtId="0">
      <sharedItems containsString="0" containsBlank="1" containsNumber="1" containsInteger="1" minValue="1360" maxValue="7352"/>
    </cacheField>
    <cacheField name="16_occurrence_step_down.csv" numFmtId="0">
      <sharedItems containsString="0" containsBlank="1" containsNumber="1" containsInteger="1" minValue="1488" maxValue="3572"/>
    </cacheField>
    <cacheField name="16_occurrence_step_up.csv" numFmtId="0">
      <sharedItems containsString="0" containsBlank="1" containsNumber="1" containsInteger="1" minValue="1372" maxValue="44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56"/>
    <n v="140"/>
    <n v="136"/>
    <n v="124"/>
    <n v="124"/>
    <n v="168"/>
    <n v="188"/>
    <n v="124"/>
    <n v="120"/>
    <n v="116"/>
    <n v="124"/>
    <n v="108"/>
    <n v="136"/>
    <n v="120"/>
    <n v="128"/>
    <n v="124"/>
    <n v="132"/>
    <n v="124"/>
    <n v="120"/>
    <n v="112"/>
    <n v="136"/>
    <n v="148"/>
    <n v="128"/>
    <n v="148"/>
    <n v="156"/>
    <n v="140"/>
    <n v="104"/>
    <n v="128"/>
    <n v="152"/>
    <n v="116"/>
    <n v="164"/>
    <n v="168"/>
    <n v="108"/>
    <n v="160"/>
    <n v="116"/>
    <n v="116"/>
    <n v="160"/>
    <n v="152"/>
    <n v="112"/>
    <n v="116"/>
    <n v="232"/>
    <n v="148"/>
    <n v="188"/>
    <n v="196"/>
    <n v="148"/>
    <n v="140"/>
    <n v="232"/>
    <n v="136"/>
    <n v="124"/>
    <n v="116"/>
    <n v="116"/>
    <n v="116"/>
    <n v="152"/>
    <n v="152"/>
    <n v="136"/>
    <n v="112"/>
    <n v="136"/>
    <n v="120"/>
    <n v="116"/>
    <n v="140"/>
    <n v="120"/>
    <n v="144"/>
    <n v="116"/>
    <n v="120"/>
    <n v="140"/>
    <n v="116"/>
    <n v="148"/>
    <n v="140"/>
    <n v="132"/>
    <n v="120"/>
    <n v="144"/>
    <n v="124"/>
    <n v="164"/>
    <n v="128"/>
    <n v="116"/>
    <n v="116"/>
    <n v="124"/>
    <n v="108"/>
    <n v="116"/>
    <n v="108"/>
  </r>
  <r>
    <n v="156"/>
    <n v="128"/>
    <n v="116"/>
    <n v="132"/>
    <n v="156"/>
    <n v="112"/>
    <n v="128"/>
    <n v="120"/>
    <n v="132"/>
    <n v="132"/>
    <n v="116"/>
    <n v="144"/>
    <n v="124"/>
    <n v="124"/>
    <n v="112"/>
    <n v="128"/>
    <n v="124"/>
    <n v="116"/>
    <n v="124"/>
    <n v="124"/>
    <n v="128"/>
    <n v="148"/>
    <n v="116"/>
    <n v="112"/>
    <n v="168"/>
    <n v="152"/>
    <n v="128"/>
    <n v="120"/>
    <n v="244"/>
    <n v="128"/>
    <n v="168"/>
    <n v="128"/>
    <n v="112"/>
    <n v="116"/>
    <n v="164"/>
    <n v="156"/>
    <n v="188"/>
    <n v="148"/>
    <n v="152"/>
    <n v="144"/>
    <n v="124"/>
    <n v="144"/>
    <n v="192"/>
    <n v="228"/>
    <n v="140"/>
    <n v="116"/>
    <n v="236"/>
    <n v="140"/>
    <n v="116"/>
    <n v="112"/>
    <n v="156"/>
    <n v="124"/>
    <n v="160"/>
    <n v="116"/>
    <n v="132"/>
    <n v="160"/>
    <n v="128"/>
    <n v="120"/>
    <n v="148"/>
    <n v="116"/>
    <n v="120"/>
    <n v="144"/>
    <n v="116"/>
    <n v="120"/>
    <n v="120"/>
    <n v="116"/>
    <n v="120"/>
    <n v="136"/>
    <n v="124"/>
    <n v="116"/>
    <n v="144"/>
    <n v="116"/>
    <n v="116"/>
    <n v="156"/>
    <n v="116"/>
    <n v="144"/>
    <n v="116"/>
    <n v="108"/>
    <n v="120"/>
    <n v="116"/>
  </r>
  <r>
    <n v="208"/>
    <n v="140"/>
    <n v="176"/>
    <n v="124"/>
    <n v="128"/>
    <n v="124"/>
    <n v="132"/>
    <n v="128"/>
    <n v="116"/>
    <n v="124"/>
    <n v="156"/>
    <n v="108"/>
    <n v="168"/>
    <n v="152"/>
    <n v="116"/>
    <n v="132"/>
    <n v="144"/>
    <n v="116"/>
    <n v="148"/>
    <n v="108"/>
    <n v="132"/>
    <n v="132"/>
    <n v="128"/>
    <n v="116"/>
    <n v="160"/>
    <n v="152"/>
    <n v="112"/>
    <n v="140"/>
    <n v="116"/>
    <n v="112"/>
    <n v="168"/>
    <n v="160"/>
    <n v="156"/>
    <n v="112"/>
    <n v="120"/>
    <n v="116"/>
    <n v="232"/>
    <n v="204"/>
    <n v="120"/>
    <n v="140"/>
    <n v="148"/>
    <n v="148"/>
    <n v="120"/>
    <n v="120"/>
    <n v="124"/>
    <n v="136"/>
    <n v="164"/>
    <n v="144"/>
    <n v="116"/>
    <n v="112"/>
    <n v="120"/>
    <n v="156"/>
    <n v="112"/>
    <n v="128"/>
    <n v="164"/>
    <n v="120"/>
    <n v="176"/>
    <n v="120"/>
    <n v="136"/>
    <n v="132"/>
    <n v="116"/>
    <n v="144"/>
    <n v="144"/>
    <n v="144"/>
    <n v="112"/>
    <n v="140"/>
    <n v="140"/>
    <n v="136"/>
    <n v="128"/>
    <n v="144"/>
    <n v="176"/>
    <n v="128"/>
    <n v="116"/>
    <n v="104"/>
    <n v="120"/>
    <n v="116"/>
    <n v="112"/>
    <n v="148"/>
    <n v="120"/>
    <n v="116"/>
  </r>
  <r>
    <n v="112"/>
    <n v="108"/>
    <n v="128"/>
    <n v="128"/>
    <n v="136"/>
    <n v="124"/>
    <n v="124"/>
    <n v="152"/>
    <n v="120"/>
    <n v="116"/>
    <n v="152"/>
    <n v="120"/>
    <n v="132"/>
    <n v="112"/>
    <n v="120"/>
    <n v="144"/>
    <n v="148"/>
    <n v="144"/>
    <n v="160"/>
    <n v="140"/>
    <n v="132"/>
    <n v="124"/>
    <n v="136"/>
    <n v="116"/>
    <n v="148"/>
    <n v="132"/>
    <n v="112"/>
    <n v="124"/>
    <n v="116"/>
    <n v="128"/>
    <n v="200"/>
    <n v="128"/>
    <n v="124"/>
    <n v="140"/>
    <n v="168"/>
    <n v="172"/>
    <n v="328"/>
    <n v="204"/>
    <n v="188"/>
    <n v="168"/>
    <n v="164"/>
    <n v="140"/>
    <n v="168"/>
    <n v="124"/>
    <n v="148"/>
    <n v="136"/>
    <n v="164"/>
    <n v="164"/>
    <n v="160"/>
    <n v="112"/>
    <n v="116"/>
    <n v="108"/>
    <n v="144"/>
    <n v="156"/>
    <n v="140"/>
    <n v="120"/>
    <n v="128"/>
    <n v="124"/>
    <n v="156"/>
    <n v="136"/>
    <n v="112"/>
    <n v="140"/>
    <n v="120"/>
    <n v="152"/>
    <n v="116"/>
    <n v="124"/>
    <n v="132"/>
    <n v="160"/>
    <n v="124"/>
    <n v="120"/>
    <n v="204"/>
    <n v="128"/>
    <n v="112"/>
    <n v="112"/>
    <n v="120"/>
    <n v="108"/>
    <n v="156"/>
    <n v="116"/>
    <n v="116"/>
    <n v="124"/>
  </r>
  <r>
    <n v="112"/>
    <n v="124"/>
    <n v="140"/>
    <n v="136"/>
    <n v="132"/>
    <n v="132"/>
    <n v="124"/>
    <n v="180"/>
    <n v="128"/>
    <n v="132"/>
    <n v="148"/>
    <n v="116"/>
    <n v="136"/>
    <n v="108"/>
    <n v="132"/>
    <n v="128"/>
    <n v="124"/>
    <n v="124"/>
    <n v="128"/>
    <n v="124"/>
    <n v="136"/>
    <n v="136"/>
    <n v="152"/>
    <n v="148"/>
    <n v="152"/>
    <n v="132"/>
    <n v="124"/>
    <n v="132"/>
    <n v="140"/>
    <n v="124"/>
    <n v="196"/>
    <n v="176"/>
    <n v="156"/>
    <n v="116"/>
    <n v="124"/>
    <n v="120"/>
    <n v="112"/>
    <n v="316"/>
    <n v="160"/>
    <n v="120"/>
    <n v="140"/>
    <n v="172"/>
    <n v="200"/>
    <n v="116"/>
    <n v="168"/>
    <n v="140"/>
    <n v="232"/>
    <n v="180"/>
    <n v="132"/>
    <n v="156"/>
    <n v="108"/>
    <n v="108"/>
    <n v="168"/>
    <n v="112"/>
    <n v="148"/>
    <n v="120"/>
    <n v="128"/>
    <n v="128"/>
    <n v="140"/>
    <n v="116"/>
    <n v="140"/>
    <n v="152"/>
    <n v="160"/>
    <n v="132"/>
    <n v="140"/>
    <n v="144"/>
    <n v="144"/>
    <n v="196"/>
    <n v="152"/>
    <n v="128"/>
    <n v="244"/>
    <n v="124"/>
    <n v="112"/>
    <n v="112"/>
    <n v="168"/>
    <n v="144"/>
    <n v="124"/>
    <n v="124"/>
    <n v="128"/>
    <n v="124"/>
  </r>
  <r>
    <n v="136"/>
    <n v="128"/>
    <n v="140"/>
    <n v="144"/>
    <n v="144"/>
    <n v="132"/>
    <n v="136"/>
    <n v="132"/>
    <n v="112"/>
    <n v="128"/>
    <n v="136"/>
    <n v="116"/>
    <n v="128"/>
    <n v="112"/>
    <n v="132"/>
    <n v="108"/>
    <n v="124"/>
    <n v="132"/>
    <n v="120"/>
    <n v="132"/>
    <n v="156"/>
    <n v="132"/>
    <n v="168"/>
    <n v="160"/>
    <n v="140"/>
    <n v="140"/>
    <n v="128"/>
    <n v="132"/>
    <n v="128"/>
    <n v="120"/>
    <n v="288"/>
    <n v="128"/>
    <n v="116"/>
    <n v="148"/>
    <n v="160"/>
    <n v="156"/>
    <n v="156"/>
    <n v="296"/>
    <n v="148"/>
    <n v="124"/>
    <n v="116"/>
    <n v="160"/>
    <n v="224"/>
    <n v="176"/>
    <n v="228"/>
    <n v="136"/>
    <n v="272"/>
    <n v="232"/>
    <n v="108"/>
    <n v="120"/>
    <n v="108"/>
    <n v="120"/>
    <n v="172"/>
    <n v="112"/>
    <n v="132"/>
    <n v="108"/>
    <n v="128"/>
    <n v="152"/>
    <n v="144"/>
    <n v="168"/>
    <n v="132"/>
    <n v="176"/>
    <n v="112"/>
    <n v="128"/>
    <n v="124"/>
    <n v="132"/>
    <n v="132"/>
    <n v="224"/>
    <n v="128"/>
    <n v="120"/>
    <n v="116"/>
    <n v="128"/>
    <n v="120"/>
    <n v="144"/>
    <n v="120"/>
    <n v="116"/>
    <n v="132"/>
    <n v="128"/>
    <n v="120"/>
    <n v="120"/>
  </r>
  <r>
    <n v="120"/>
    <n v="132"/>
    <n v="128"/>
    <n v="152"/>
    <n v="164"/>
    <n v="136"/>
    <n v="140"/>
    <n v="128"/>
    <n v="128"/>
    <n v="132"/>
    <n v="132"/>
    <n v="124"/>
    <n v="128"/>
    <n v="108"/>
    <n v="120"/>
    <n v="120"/>
    <n v="144"/>
    <n v="136"/>
    <n v="132"/>
    <n v="152"/>
    <n v="120"/>
    <n v="116"/>
    <n v="120"/>
    <n v="156"/>
    <n v="168"/>
    <n v="136"/>
    <n v="112"/>
    <n v="116"/>
    <n v="128"/>
    <n v="112"/>
    <n v="292"/>
    <n v="176"/>
    <n v="164"/>
    <n v="128"/>
    <n v="160"/>
    <n v="160"/>
    <n v="124"/>
    <n v="132"/>
    <n v="192"/>
    <n v="120"/>
    <n v="136"/>
    <n v="220"/>
    <n v="160"/>
    <n v="132"/>
    <n v="244"/>
    <n v="164"/>
    <n v="156"/>
    <n v="136"/>
    <n v="120"/>
    <n v="112"/>
    <n v="112"/>
    <n v="148"/>
    <n v="176"/>
    <n v="144"/>
    <n v="168"/>
    <n v="156"/>
    <n v="124"/>
    <n v="120"/>
    <n v="168"/>
    <n v="164"/>
    <n v="124"/>
    <n v="208"/>
    <n v="108"/>
    <n v="128"/>
    <n v="120"/>
    <n v="108"/>
    <n v="140"/>
    <n v="120"/>
    <n v="124"/>
    <n v="116"/>
    <n v="132"/>
    <n v="136"/>
    <n v="148"/>
    <n v="116"/>
    <n v="120"/>
    <n v="128"/>
    <n v="144"/>
    <n v="128"/>
    <n v="120"/>
    <n v="164"/>
  </r>
  <r>
    <n v="128"/>
    <n v="128"/>
    <n v="344"/>
    <n v="180"/>
    <n v="180"/>
    <n v="144"/>
    <n v="120"/>
    <n v="144"/>
    <n v="112"/>
    <n v="140"/>
    <n v="132"/>
    <n v="128"/>
    <n v="120"/>
    <n v="100"/>
    <n v="108"/>
    <n v="112"/>
    <n v="192"/>
    <n v="112"/>
    <n v="120"/>
    <n v="112"/>
    <n v="124"/>
    <n v="124"/>
    <n v="128"/>
    <n v="164"/>
    <n v="164"/>
    <n v="164"/>
    <n v="112"/>
    <n v="128"/>
    <n v="132"/>
    <n v="120"/>
    <n v="116"/>
    <n v="176"/>
    <n v="120"/>
    <n v="168"/>
    <n v="172"/>
    <n v="160"/>
    <n v="152"/>
    <n v="168"/>
    <n v="184"/>
    <n v="116"/>
    <n v="152"/>
    <n v="228"/>
    <n v="184"/>
    <n v="152"/>
    <n v="116"/>
    <n v="172"/>
    <n v="208"/>
    <n v="140"/>
    <n v="124"/>
    <n v="116"/>
    <n v="108"/>
    <n v="112"/>
    <n v="212"/>
    <n v="112"/>
    <n v="108"/>
    <n v="116"/>
    <n v="136"/>
    <n v="164"/>
    <n v="216"/>
    <n v="152"/>
    <n v="128"/>
    <n v="124"/>
    <n v="128"/>
    <n v="140"/>
    <n v="116"/>
    <n v="136"/>
    <n v="132"/>
    <n v="116"/>
    <n v="128"/>
    <n v="116"/>
    <n v="120"/>
    <n v="120"/>
    <n v="120"/>
    <n v="148"/>
    <n v="116"/>
    <n v="156"/>
    <n v="144"/>
    <n v="120"/>
    <n v="116"/>
    <n v="140"/>
  </r>
  <r>
    <n v="132"/>
    <n v="152"/>
    <n v="344"/>
    <n v="124"/>
    <n v="100"/>
    <n v="148"/>
    <n v="120"/>
    <n v="132"/>
    <n v="128"/>
    <n v="148"/>
    <n v="136"/>
    <n v="136"/>
    <n v="124"/>
    <n v="116"/>
    <n v="120"/>
    <n v="124"/>
    <n v="112"/>
    <n v="128"/>
    <n v="116"/>
    <n v="140"/>
    <n v="116"/>
    <n v="120"/>
    <n v="124"/>
    <n v="124"/>
    <n v="144"/>
    <n v="120"/>
    <n v="128"/>
    <n v="112"/>
    <n v="132"/>
    <n v="128"/>
    <n v="120"/>
    <n v="184"/>
    <n v="152"/>
    <n v="156"/>
    <n v="160"/>
    <n v="176"/>
    <n v="180"/>
    <n v="120"/>
    <n v="212"/>
    <n v="152"/>
    <n v="148"/>
    <n v="120"/>
    <n v="244"/>
    <n v="120"/>
    <n v="140"/>
    <n v="216"/>
    <n v="224"/>
    <n v="164"/>
    <n v="164"/>
    <n v="116"/>
    <n v="148"/>
    <n v="116"/>
    <n v="280"/>
    <n v="132"/>
    <n v="148"/>
    <n v="120"/>
    <n v="200"/>
    <n v="124"/>
    <n v="228"/>
    <n v="132"/>
    <n v="128"/>
    <n v="120"/>
    <n v="116"/>
    <n v="120"/>
    <n v="140"/>
    <n v="128"/>
    <n v="184"/>
    <n v="112"/>
    <n v="128"/>
    <n v="112"/>
    <n v="120"/>
    <n v="128"/>
    <n v="112"/>
    <n v="136"/>
    <n v="120"/>
    <n v="124"/>
    <n v="144"/>
    <n v="152"/>
    <n v="116"/>
    <n v="128"/>
  </r>
  <r>
    <n v="132"/>
    <n v="140"/>
    <n v="140"/>
    <n v="116"/>
    <n v="132"/>
    <n v="156"/>
    <n v="128"/>
    <n v="196"/>
    <n v="108"/>
    <n v="120"/>
    <n v="128"/>
    <n v="124"/>
    <n v="132"/>
    <n v="132"/>
    <n v="120"/>
    <n v="128"/>
    <n v="144"/>
    <n v="132"/>
    <n v="124"/>
    <n v="136"/>
    <n v="116"/>
    <n v="132"/>
    <n v="136"/>
    <n v="128"/>
    <n v="164"/>
    <n v="120"/>
    <n v="108"/>
    <n v="128"/>
    <n v="156"/>
    <n v="132"/>
    <n v="160"/>
    <n v="172"/>
    <n v="116"/>
    <n v="132"/>
    <n v="200"/>
    <n v="196"/>
    <n v="164"/>
    <n v="160"/>
    <n v="312"/>
    <n v="116"/>
    <n v="148"/>
    <n v="140"/>
    <n v="124"/>
    <n v="124"/>
    <n v="140"/>
    <n v="252"/>
    <n v="164"/>
    <n v="164"/>
    <n v="112"/>
    <n v="148"/>
    <n v="128"/>
    <n v="152"/>
    <n v="112"/>
    <n v="108"/>
    <n v="148"/>
    <n v="124"/>
    <n v="240"/>
    <n v="120"/>
    <n v="120"/>
    <n v="156"/>
    <n v="148"/>
    <n v="124"/>
    <n v="140"/>
    <n v="136"/>
    <n v="120"/>
    <n v="160"/>
    <n v="172"/>
    <n v="116"/>
    <n v="128"/>
    <n v="136"/>
    <n v="120"/>
    <n v="176"/>
    <n v="116"/>
    <n v="120"/>
    <n v="156"/>
    <n v="160"/>
    <n v="188"/>
    <n v="116"/>
    <n v="160"/>
    <n v="116"/>
  </r>
  <r>
    <n v="168"/>
    <n v="176"/>
    <n v="164"/>
    <n v="120"/>
    <n v="124"/>
    <n v="176"/>
    <n v="124"/>
    <n v="128"/>
    <n v="160"/>
    <n v="124"/>
    <n v="132"/>
    <n v="108"/>
    <n v="136"/>
    <n v="112"/>
    <n v="116"/>
    <n v="120"/>
    <n v="132"/>
    <n v="140"/>
    <n v="124"/>
    <n v="120"/>
    <n v="124"/>
    <n v="176"/>
    <n v="124"/>
    <n v="128"/>
    <n v="136"/>
    <n v="140"/>
    <n v="112"/>
    <n v="112"/>
    <n v="132"/>
    <n v="120"/>
    <n v="124"/>
    <n v="224"/>
    <n v="156"/>
    <n v="160"/>
    <n v="188"/>
    <n v="152"/>
    <n v="156"/>
    <n v="120"/>
    <n v="124"/>
    <n v="116"/>
    <n v="148"/>
    <n v="140"/>
    <n v="140"/>
    <n v="144"/>
    <n v="140"/>
    <n v="124"/>
    <n v="180"/>
    <n v="208"/>
    <n v="144"/>
    <n v="112"/>
    <n v="108"/>
    <n v="120"/>
    <n v="112"/>
    <n v="152"/>
    <n v="140"/>
    <n v="160"/>
    <n v="160"/>
    <n v="120"/>
    <n v="120"/>
    <n v="208"/>
    <n v="120"/>
    <n v="128"/>
    <n v="144"/>
    <n v="124"/>
    <n v="116"/>
    <n v="180"/>
    <n v="224"/>
    <n v="144"/>
    <n v="140"/>
    <n v="120"/>
    <n v="124"/>
    <n v="120"/>
    <n v="124"/>
    <n v="148"/>
    <n v="108"/>
    <n v="152"/>
    <n v="120"/>
    <n v="112"/>
    <n v="120"/>
    <n v="124"/>
  </r>
  <r>
    <n v="124"/>
    <n v="116"/>
    <n v="384"/>
    <n v="128"/>
    <n v="124"/>
    <n v="184"/>
    <n v="124"/>
    <n v="128"/>
    <n v="164"/>
    <n v="108"/>
    <n v="132"/>
    <n v="112"/>
    <n v="128"/>
    <n v="120"/>
    <n v="112"/>
    <n v="120"/>
    <n v="152"/>
    <n v="128"/>
    <n v="124"/>
    <n v="184"/>
    <n v="136"/>
    <n v="188"/>
    <n v="132"/>
    <n v="128"/>
    <n v="232"/>
    <n v="152"/>
    <n v="132"/>
    <n v="124"/>
    <n v="132"/>
    <n v="124"/>
    <n v="120"/>
    <n v="220"/>
    <n v="152"/>
    <n v="148"/>
    <n v="260"/>
    <n v="192"/>
    <n v="232"/>
    <n v="152"/>
    <n v="112"/>
    <n v="132"/>
    <n v="168"/>
    <n v="120"/>
    <n v="144"/>
    <n v="132"/>
    <n v="140"/>
    <n v="164"/>
    <n v="236"/>
    <n v="228"/>
    <n v="148"/>
    <n v="108"/>
    <n v="108"/>
    <n v="116"/>
    <n v="108"/>
    <n v="116"/>
    <n v="156"/>
    <n v="116"/>
    <n v="120"/>
    <n v="136"/>
    <n v="120"/>
    <n v="240"/>
    <n v="120"/>
    <n v="132"/>
    <n v="132"/>
    <n v="148"/>
    <n v="136"/>
    <n v="172"/>
    <n v="120"/>
    <n v="112"/>
    <n v="124"/>
    <n v="132"/>
    <n v="120"/>
    <n v="120"/>
    <n v="148"/>
    <n v="128"/>
    <n v="132"/>
    <n v="124"/>
    <n v="116"/>
    <n v="112"/>
    <n v="128"/>
    <n v="116"/>
  </r>
  <r>
    <n v="132"/>
    <n v="112"/>
    <n v="188"/>
    <n v="116"/>
    <n v="144"/>
    <n v="116"/>
    <n v="128"/>
    <n v="184"/>
    <n v="160"/>
    <n v="120"/>
    <n v="128"/>
    <n v="128"/>
    <n v="128"/>
    <n v="120"/>
    <n v="124"/>
    <n v="112"/>
    <n v="132"/>
    <n v="124"/>
    <n v="128"/>
    <n v="124"/>
    <n v="164"/>
    <n v="124"/>
    <n v="128"/>
    <n v="136"/>
    <n v="120"/>
    <n v="156"/>
    <n v="116"/>
    <n v="128"/>
    <n v="124"/>
    <n v="128"/>
    <n v="164"/>
    <n v="316"/>
    <n v="160"/>
    <n v="148"/>
    <n v="328"/>
    <n v="280"/>
    <n v="200"/>
    <n v="160"/>
    <n v="120"/>
    <n v="172"/>
    <n v="220"/>
    <n v="144"/>
    <n v="120"/>
    <n v="156"/>
    <n v="168"/>
    <n v="120"/>
    <n v="172"/>
    <n v="128"/>
    <n v="124"/>
    <n v="112"/>
    <n v="112"/>
    <n v="116"/>
    <n v="112"/>
    <n v="152"/>
    <n v="152"/>
    <n v="112"/>
    <n v="176"/>
    <n v="136"/>
    <n v="148"/>
    <n v="112"/>
    <n v="144"/>
    <n v="152"/>
    <n v="136"/>
    <n v="160"/>
    <n v="124"/>
    <n v="216"/>
    <n v="120"/>
    <n v="116"/>
    <n v="116"/>
    <n v="116"/>
    <n v="140"/>
    <n v="116"/>
    <n v="144"/>
    <n v="168"/>
    <n v="180"/>
    <n v="148"/>
    <n v="116"/>
    <n v="112"/>
    <n v="124"/>
    <n v="112"/>
  </r>
  <r>
    <n v="156"/>
    <n v="136"/>
    <n v="128"/>
    <n v="140"/>
    <n v="128"/>
    <n v="136"/>
    <n v="144"/>
    <n v="160"/>
    <n v="120"/>
    <n v="108"/>
    <n v="192"/>
    <n v="128"/>
    <n v="168"/>
    <n v="124"/>
    <n v="128"/>
    <n v="136"/>
    <n v="136"/>
    <n v="136"/>
    <n v="132"/>
    <n v="112"/>
    <n v="168"/>
    <n v="128"/>
    <n v="124"/>
    <n v="128"/>
    <n v="116"/>
    <n v="120"/>
    <n v="132"/>
    <n v="124"/>
    <n v="120"/>
    <n v="132"/>
    <n v="140"/>
    <n v="316"/>
    <n v="188"/>
    <n v="172"/>
    <n v="128"/>
    <n v="308"/>
    <n v="268"/>
    <n v="148"/>
    <n v="116"/>
    <n v="136"/>
    <n v="244"/>
    <n v="116"/>
    <n v="128"/>
    <n v="128"/>
    <n v="188"/>
    <n v="132"/>
    <n v="184"/>
    <n v="120"/>
    <n v="120"/>
    <n v="108"/>
    <n v="144"/>
    <n v="116"/>
    <n v="112"/>
    <n v="144"/>
    <n v="184"/>
    <n v="116"/>
    <n v="180"/>
    <n v="172"/>
    <n v="128"/>
    <n v="112"/>
    <n v="180"/>
    <n v="132"/>
    <n v="144"/>
    <n v="112"/>
    <n v="136"/>
    <n v="116"/>
    <n v="132"/>
    <n v="116"/>
    <n v="124"/>
    <n v="112"/>
    <n v="132"/>
    <n v="112"/>
    <n v="116"/>
    <n v="152"/>
    <n v="108"/>
    <n v="140"/>
    <n v="112"/>
    <n v="144"/>
    <n v="124"/>
    <n v="116"/>
  </r>
  <r>
    <n v="176"/>
    <n v="120"/>
    <n v="112"/>
    <n v="128"/>
    <n v="164"/>
    <n v="152"/>
    <n v="120"/>
    <n v="200"/>
    <n v="140"/>
    <n v="128"/>
    <n v="120"/>
    <n v="120"/>
    <n v="136"/>
    <n v="116"/>
    <n v="148"/>
    <n v="128"/>
    <n v="124"/>
    <n v="124"/>
    <n v="124"/>
    <n v="120"/>
    <n v="136"/>
    <n v="128"/>
    <n v="156"/>
    <n v="136"/>
    <n v="124"/>
    <n v="140"/>
    <n v="120"/>
    <n v="132"/>
    <n v="124"/>
    <n v="136"/>
    <n v="148"/>
    <n v="104"/>
    <n v="196"/>
    <n v="264"/>
    <n v="120"/>
    <n v="136"/>
    <n v="312"/>
    <n v="192"/>
    <n v="152"/>
    <n v="116"/>
    <n v="124"/>
    <n v="136"/>
    <n v="132"/>
    <n v="152"/>
    <n v="236"/>
    <n v="132"/>
    <n v="264"/>
    <n v="164"/>
    <n v="160"/>
    <n v="148"/>
    <n v="104"/>
    <n v="116"/>
    <n v="152"/>
    <n v="152"/>
    <n v="216"/>
    <n v="164"/>
    <n v="176"/>
    <n v="140"/>
    <n v="120"/>
    <n v="124"/>
    <n v="116"/>
    <n v="124"/>
    <n v="156"/>
    <n v="132"/>
    <n v="144"/>
    <n v="120"/>
    <n v="120"/>
    <n v="136"/>
    <n v="144"/>
    <n v="144"/>
    <n v="136"/>
    <n v="108"/>
    <n v="112"/>
    <n v="144"/>
    <n v="116"/>
    <n v="144"/>
    <n v="116"/>
    <n v="116"/>
    <n v="124"/>
    <n v="136"/>
  </r>
  <r>
    <n v="180"/>
    <n v="136"/>
    <n v="128"/>
    <n v="132"/>
    <n v="176"/>
    <n v="136"/>
    <n v="152"/>
    <n v="144"/>
    <n v="148"/>
    <n v="128"/>
    <n v="140"/>
    <n v="120"/>
    <n v="152"/>
    <n v="120"/>
    <n v="128"/>
    <n v="148"/>
    <n v="124"/>
    <n v="136"/>
    <n v="132"/>
    <n v="120"/>
    <n v="128"/>
    <n v="116"/>
    <n v="164"/>
    <n v="148"/>
    <n v="112"/>
    <n v="140"/>
    <n v="124"/>
    <n v="136"/>
    <n v="124"/>
    <n v="132"/>
    <n v="180"/>
    <n v="108"/>
    <n v="256"/>
    <n v="288"/>
    <n v="160"/>
    <n v="132"/>
    <n v="120"/>
    <n v="148"/>
    <n v="112"/>
    <n v="156"/>
    <n v="148"/>
    <n v="136"/>
    <n v="108"/>
    <n v="132"/>
    <n v="116"/>
    <n v="140"/>
    <n v="176"/>
    <n v="160"/>
    <n v="144"/>
    <n v="112"/>
    <n v="120"/>
    <n v="160"/>
    <n v="120"/>
    <n v="148"/>
    <n v="280"/>
    <n v="124"/>
    <n v="212"/>
    <n v="188"/>
    <n v="140"/>
    <n v="136"/>
    <n v="148"/>
    <n v="124"/>
    <n v="184"/>
    <n v="116"/>
    <n v="128"/>
    <n v="116"/>
    <n v="144"/>
    <n v="120"/>
    <n v="120"/>
    <n v="112"/>
    <n v="184"/>
    <n v="116"/>
    <n v="120"/>
    <n v="148"/>
    <n v="152"/>
    <n v="164"/>
    <n v="148"/>
    <n v="120"/>
    <n v="120"/>
    <n v="112"/>
  </r>
  <r>
    <n v="116"/>
    <n v="108"/>
    <n v="120"/>
    <n v="140"/>
    <n v="128"/>
    <n v="124"/>
    <n v="124"/>
    <n v="136"/>
    <n v="164"/>
    <n v="120"/>
    <n v="148"/>
    <n v="120"/>
    <n v="136"/>
    <n v="116"/>
    <n v="140"/>
    <n v="124"/>
    <n v="128"/>
    <n v="140"/>
    <n v="128"/>
    <n v="132"/>
    <n v="136"/>
    <n v="128"/>
    <n v="136"/>
    <n v="124"/>
    <n v="132"/>
    <n v="136"/>
    <n v="132"/>
    <n v="140"/>
    <n v="132"/>
    <n v="116"/>
    <n v="128"/>
    <n v="112"/>
    <n v="384"/>
    <n v="124"/>
    <n v="120"/>
    <n v="160"/>
    <n v="168"/>
    <n v="184"/>
    <n v="124"/>
    <n v="132"/>
    <n v="152"/>
    <n v="124"/>
    <n v="136"/>
    <n v="140"/>
    <n v="148"/>
    <n v="136"/>
    <n v="220"/>
    <n v="252"/>
    <n v="136"/>
    <n v="120"/>
    <n v="152"/>
    <n v="116"/>
    <n v="104"/>
    <n v="144"/>
    <n v="120"/>
    <n v="120"/>
    <n v="124"/>
    <n v="116"/>
    <n v="120"/>
    <n v="128"/>
    <n v="128"/>
    <n v="116"/>
    <n v="180"/>
    <n v="136"/>
    <n v="144"/>
    <n v="112"/>
    <n v="108"/>
    <n v="120"/>
    <n v="128"/>
    <n v="112"/>
    <n v="124"/>
    <n v="116"/>
    <n v="124"/>
    <n v="144"/>
    <n v="120"/>
    <n v="260"/>
    <n v="108"/>
    <n v="120"/>
    <n v="116"/>
    <n v="116"/>
  </r>
  <r>
    <n v="136"/>
    <n v="148"/>
    <n v="120"/>
    <n v="116"/>
    <n v="116"/>
    <n v="128"/>
    <n v="120"/>
    <n v="152"/>
    <n v="116"/>
    <n v="124"/>
    <n v="124"/>
    <n v="128"/>
    <n v="160"/>
    <n v="124"/>
    <n v="152"/>
    <n v="116"/>
    <n v="136"/>
    <n v="128"/>
    <n v="136"/>
    <n v="124"/>
    <n v="132"/>
    <n v="128"/>
    <n v="160"/>
    <n v="116"/>
    <n v="124"/>
    <n v="156"/>
    <n v="140"/>
    <n v="156"/>
    <n v="136"/>
    <n v="124"/>
    <n v="160"/>
    <n v="156"/>
    <n v="124"/>
    <n v="128"/>
    <n v="152"/>
    <n v="244"/>
    <n v="172"/>
    <n v="256"/>
    <n v="116"/>
    <n v="168"/>
    <n v="172"/>
    <n v="148"/>
    <n v="124"/>
    <n v="132"/>
    <n v="136"/>
    <n v="156"/>
    <n v="228"/>
    <n v="140"/>
    <n v="156"/>
    <n v="120"/>
    <n v="156"/>
    <n v="124"/>
    <n v="104"/>
    <n v="184"/>
    <n v="124"/>
    <n v="156"/>
    <n v="124"/>
    <n v="120"/>
    <n v="120"/>
    <n v="124"/>
    <n v="128"/>
    <n v="120"/>
    <n v="196"/>
    <n v="116"/>
    <n v="128"/>
    <n v="112"/>
    <n v="116"/>
    <n v="128"/>
    <n v="136"/>
    <n v="120"/>
    <n v="136"/>
    <n v="148"/>
    <n v="196"/>
    <n v="176"/>
    <n v="144"/>
    <n v="252"/>
    <n v="112"/>
    <n v="148"/>
    <n v="116"/>
    <n v="112"/>
  </r>
  <r>
    <n v="120"/>
    <n v="132"/>
    <n v="136"/>
    <n v="132"/>
    <n v="148"/>
    <n v="144"/>
    <n v="144"/>
    <n v="156"/>
    <n v="124"/>
    <n v="128"/>
    <n v="116"/>
    <n v="112"/>
    <n v="144"/>
    <n v="116"/>
    <n v="144"/>
    <n v="112"/>
    <n v="128"/>
    <n v="132"/>
    <n v="160"/>
    <n v="108"/>
    <n v="144"/>
    <n v="136"/>
    <n v="132"/>
    <n v="120"/>
    <n v="124"/>
    <n v="136"/>
    <n v="148"/>
    <n v="184"/>
    <n v="156"/>
    <n v="112"/>
    <n v="168"/>
    <n v="124"/>
    <n v="116"/>
    <n v="124"/>
    <n v="116"/>
    <n v="248"/>
    <n v="212"/>
    <n v="296"/>
    <n v="152"/>
    <n v="120"/>
    <n v="120"/>
    <n v="144"/>
    <n v="148"/>
    <n v="124"/>
    <n v="140"/>
    <n v="180"/>
    <n v="168"/>
    <n v="124"/>
    <n v="116"/>
    <n v="156"/>
    <n v="192"/>
    <n v="132"/>
    <n v="112"/>
    <n v="252"/>
    <n v="124"/>
    <n v="116"/>
    <n v="124"/>
    <n v="148"/>
    <n v="172"/>
    <n v="112"/>
    <n v="144"/>
    <n v="144"/>
    <n v="120"/>
    <n v="136"/>
    <n v="140"/>
    <n v="128"/>
    <n v="144"/>
    <n v="152"/>
    <n v="144"/>
    <n v="112"/>
    <n v="120"/>
    <n v="108"/>
    <n v="156"/>
    <n v="192"/>
    <n v="112"/>
    <n v="116"/>
    <n v="112"/>
    <n v="116"/>
    <n v="116"/>
    <n v="132"/>
  </r>
  <r>
    <n v="128"/>
    <n v="120"/>
    <n v="136"/>
    <n v="140"/>
    <n v="180"/>
    <n v="136"/>
    <n v="120"/>
    <n v="192"/>
    <n v="140"/>
    <n v="136"/>
    <n v="140"/>
    <n v="140"/>
    <n v="212"/>
    <n v="108"/>
    <n v="128"/>
    <n v="112"/>
    <n v="140"/>
    <n v="140"/>
    <n v="124"/>
    <n v="120"/>
    <n v="128"/>
    <n v="132"/>
    <n v="132"/>
    <n v="116"/>
    <n v="128"/>
    <n v="124"/>
    <n v="144"/>
    <n v="120"/>
    <n v="108"/>
    <n v="112"/>
    <n v="120"/>
    <n v="124"/>
    <n v="124"/>
    <n v="120"/>
    <n v="152"/>
    <n v="164"/>
    <n v="148"/>
    <n v="112"/>
    <n v="120"/>
    <n v="152"/>
    <n v="192"/>
    <n v="168"/>
    <n v="144"/>
    <n v="144"/>
    <n v="164"/>
    <n v="224"/>
    <n v="240"/>
    <n v="184"/>
    <n v="172"/>
    <n v="120"/>
    <n v="116"/>
    <n v="124"/>
    <n v="104"/>
    <n v="264"/>
    <n v="124"/>
    <n v="164"/>
    <n v="124"/>
    <n v="128"/>
    <n v="156"/>
    <n v="140"/>
    <n v="132"/>
    <n v="124"/>
    <n v="120"/>
    <n v="124"/>
    <n v="148"/>
    <n v="112"/>
    <n v="116"/>
    <n v="136"/>
    <n v="128"/>
    <n v="140"/>
    <n v="120"/>
    <n v="112"/>
    <n v="152"/>
    <n v="256"/>
    <n v="148"/>
    <n v="168"/>
    <n v="152"/>
    <n v="136"/>
    <n v="116"/>
    <n v="116"/>
  </r>
  <r>
    <n v="112"/>
    <n v="132"/>
    <n v="132"/>
    <n v="124"/>
    <n v="164"/>
    <n v="160"/>
    <n v="124"/>
    <n v="164"/>
    <n v="152"/>
    <n v="164"/>
    <n v="120"/>
    <n v="140"/>
    <n v="124"/>
    <n v="100"/>
    <n v="120"/>
    <n v="116"/>
    <n v="128"/>
    <n v="124"/>
    <n v="112"/>
    <n v="116"/>
    <n v="152"/>
    <n v="148"/>
    <n v="112"/>
    <n v="128"/>
    <n v="140"/>
    <n v="136"/>
    <n v="156"/>
    <n v="116"/>
    <n v="116"/>
    <n v="112"/>
    <n v="180"/>
    <n v="156"/>
    <n v="156"/>
    <n v="164"/>
    <n v="156"/>
    <n v="116"/>
    <n v="152"/>
    <n v="152"/>
    <n v="120"/>
    <n v="120"/>
    <n v="144"/>
    <n v="160"/>
    <n v="148"/>
    <n v="208"/>
    <n v="192"/>
    <n v="124"/>
    <n v="232"/>
    <n v="196"/>
    <n v="152"/>
    <n v="112"/>
    <n v="120"/>
    <n v="164"/>
    <n v="144"/>
    <n v="124"/>
    <n v="124"/>
    <n v="132"/>
    <n v="148"/>
    <n v="128"/>
    <n v="176"/>
    <n v="116"/>
    <n v="144"/>
    <n v="112"/>
    <n v="124"/>
    <n v="132"/>
    <n v="140"/>
    <n v="120"/>
    <n v="112"/>
    <n v="144"/>
    <n v="128"/>
    <n v="120"/>
    <n v="124"/>
    <n v="108"/>
    <n v="124"/>
    <n v="120"/>
    <n v="112"/>
    <n v="116"/>
    <n v="112"/>
    <n v="156"/>
    <n v="156"/>
    <n v="160"/>
  </r>
  <r>
    <n v="128"/>
    <n v="148"/>
    <n v="136"/>
    <n v="136"/>
    <n v="148"/>
    <n v="180"/>
    <n v="132"/>
    <n v="152"/>
    <n v="128"/>
    <n v="152"/>
    <n v="136"/>
    <n v="128"/>
    <n v="120"/>
    <n v="104"/>
    <n v="128"/>
    <n v="116"/>
    <n v="124"/>
    <n v="132"/>
    <n v="116"/>
    <n v="120"/>
    <n v="120"/>
    <n v="176"/>
    <n v="116"/>
    <n v="120"/>
    <n v="132"/>
    <n v="156"/>
    <n v="132"/>
    <n v="124"/>
    <n v="128"/>
    <n v="120"/>
    <n v="184"/>
    <n v="116"/>
    <n v="108"/>
    <n v="132"/>
    <n v="116"/>
    <n v="152"/>
    <n v="196"/>
    <n v="116"/>
    <n v="168"/>
    <n v="148"/>
    <n v="140"/>
    <n v="176"/>
    <n v="148"/>
    <n v="216"/>
    <n v="208"/>
    <n v="148"/>
    <n v="204"/>
    <n v="228"/>
    <n v="116"/>
    <n v="156"/>
    <n v="140"/>
    <n v="120"/>
    <n v="120"/>
    <n v="116"/>
    <n v="164"/>
    <n v="164"/>
    <n v="124"/>
    <n v="116"/>
    <n v="116"/>
    <n v="112"/>
    <n v="116"/>
    <n v="132"/>
    <n v="116"/>
    <n v="128"/>
    <n v="132"/>
    <n v="128"/>
    <n v="108"/>
    <n v="116"/>
    <n v="140"/>
    <n v="116"/>
    <n v="120"/>
    <n v="108"/>
    <n v="148"/>
    <n v="124"/>
    <n v="148"/>
    <n v="116"/>
    <n v="152"/>
    <n v="120"/>
    <n v="120"/>
    <n v="124"/>
  </r>
  <r>
    <n v="124"/>
    <n v="152"/>
    <n v="120"/>
    <n v="132"/>
    <n v="176"/>
    <n v="120"/>
    <n v="128"/>
    <n v="156"/>
    <n v="208"/>
    <n v="112"/>
    <n v="128"/>
    <n v="132"/>
    <n v="136"/>
    <n v="112"/>
    <n v="144"/>
    <n v="124"/>
    <n v="140"/>
    <n v="152"/>
    <n v="112"/>
    <n v="120"/>
    <n v="140"/>
    <n v="116"/>
    <n v="112"/>
    <n v="128"/>
    <n v="124"/>
    <n v="160"/>
    <n v="176"/>
    <n v="140"/>
    <n v="120"/>
    <n v="124"/>
    <n v="180"/>
    <n v="132"/>
    <n v="108"/>
    <n v="116"/>
    <n v="156"/>
    <n v="156"/>
    <n v="196"/>
    <n v="156"/>
    <n v="124"/>
    <n v="120"/>
    <n v="144"/>
    <n v="212"/>
    <n v="148"/>
    <n v="128"/>
    <n v="228"/>
    <n v="156"/>
    <n v="248"/>
    <n v="128"/>
    <n v="148"/>
    <n v="132"/>
    <n v="168"/>
    <n v="124"/>
    <n v="124"/>
    <n v="112"/>
    <n v="136"/>
    <n v="112"/>
    <n v="136"/>
    <n v="120"/>
    <n v="140"/>
    <n v="132"/>
    <n v="136"/>
    <n v="148"/>
    <n v="116"/>
    <n v="164"/>
    <n v="140"/>
    <n v="164"/>
    <n v="140"/>
    <n v="132"/>
    <n v="144"/>
    <n v="116"/>
    <n v="120"/>
    <n v="108"/>
    <n v="144"/>
    <n v="116"/>
    <n v="140"/>
    <n v="112"/>
    <n v="124"/>
    <n v="124"/>
    <n v="124"/>
    <n v="128"/>
  </r>
  <r>
    <n v="124"/>
    <n v="236"/>
    <n v="136"/>
    <n v="148"/>
    <n v="140"/>
    <n v="140"/>
    <n v="140"/>
    <n v="180"/>
    <n v="124"/>
    <n v="104"/>
    <n v="140"/>
    <n v="124"/>
    <n v="120"/>
    <n v="116"/>
    <n v="148"/>
    <n v="120"/>
    <n v="144"/>
    <n v="116"/>
    <n v="120"/>
    <n v="124"/>
    <n v="136"/>
    <n v="164"/>
    <n v="136"/>
    <n v="128"/>
    <n v="116"/>
    <n v="124"/>
    <n v="116"/>
    <n v="128"/>
    <n v="116"/>
    <n v="128"/>
    <n v="196"/>
    <n v="168"/>
    <n v="192"/>
    <n v="156"/>
    <n v="152"/>
    <n v="116"/>
    <n v="224"/>
    <n v="120"/>
    <n v="128"/>
    <n v="172"/>
    <n v="156"/>
    <n v="120"/>
    <n v="172"/>
    <n v="120"/>
    <n v="140"/>
    <n v="136"/>
    <n v="156"/>
    <n v="124"/>
    <n v="148"/>
    <n v="156"/>
    <n v="148"/>
    <n v="124"/>
    <n v="132"/>
    <n v="116"/>
    <n v="152"/>
    <n v="152"/>
    <n v="144"/>
    <n v="152"/>
    <n v="172"/>
    <n v="120"/>
    <n v="136"/>
    <n v="128"/>
    <n v="116"/>
    <n v="136"/>
    <n v="156"/>
    <n v="136"/>
    <n v="120"/>
    <n v="148"/>
    <n v="120"/>
    <n v="136"/>
    <n v="116"/>
    <n v="144"/>
    <n v="144"/>
    <n v="116"/>
    <n v="144"/>
    <n v="112"/>
    <n v="160"/>
    <n v="132"/>
    <n v="116"/>
    <n v="120"/>
  </r>
  <r>
    <n v="128"/>
    <n v="172"/>
    <n v="176"/>
    <n v="152"/>
    <n v="176"/>
    <n v="132"/>
    <n v="128"/>
    <n v="204"/>
    <n v="108"/>
    <n v="112"/>
    <n v="120"/>
    <n v="132"/>
    <n v="136"/>
    <n v="136"/>
    <n v="120"/>
    <n v="128"/>
    <n v="160"/>
    <n v="132"/>
    <n v="132"/>
    <n v="116"/>
    <n v="136"/>
    <n v="112"/>
    <n v="120"/>
    <n v="144"/>
    <n v="132"/>
    <n v="148"/>
    <n v="120"/>
    <n v="116"/>
    <n v="128"/>
    <n v="132"/>
    <n v="192"/>
    <n v="104"/>
    <n v="232"/>
    <n v="128"/>
    <n v="192"/>
    <n v="152"/>
    <n v="320"/>
    <n v="160"/>
    <n v="172"/>
    <n v="148"/>
    <n v="160"/>
    <n v="128"/>
    <n v="176"/>
    <n v="140"/>
    <n v="132"/>
    <n v="148"/>
    <n v="400"/>
    <n v="152"/>
    <n v="128"/>
    <n v="116"/>
    <n v="108"/>
    <n v="156"/>
    <n v="164"/>
    <n v="104"/>
    <n v="144"/>
    <n v="128"/>
    <n v="172"/>
    <n v="120"/>
    <n v="172"/>
    <n v="140"/>
    <n v="144"/>
    <n v="128"/>
    <n v="140"/>
    <n v="140"/>
    <n v="176"/>
    <n v="136"/>
    <n v="128"/>
    <n v="124"/>
    <n v="144"/>
    <n v="112"/>
    <n v="164"/>
    <n v="120"/>
    <n v="164"/>
    <n v="120"/>
    <n v="184"/>
    <n v="112"/>
    <n v="120"/>
    <n v="116"/>
    <n v="120"/>
    <n v="116"/>
  </r>
  <r>
    <n v="144"/>
    <n v="160"/>
    <n v="132"/>
    <n v="160"/>
    <n v="136"/>
    <n v="132"/>
    <n v="116"/>
    <n v="148"/>
    <n v="112"/>
    <n v="132"/>
    <n v="108"/>
    <n v="120"/>
    <n v="112"/>
    <n v="124"/>
    <n v="144"/>
    <n v="132"/>
    <n v="116"/>
    <n v="116"/>
    <n v="120"/>
    <n v="112"/>
    <n v="148"/>
    <n v="120"/>
    <n v="120"/>
    <n v="140"/>
    <n v="116"/>
    <n v="136"/>
    <n v="108"/>
    <n v="112"/>
    <n v="120"/>
    <n v="136"/>
    <n v="292"/>
    <n v="144"/>
    <n v="112"/>
    <n v="116"/>
    <n v="192"/>
    <n v="148"/>
    <n v="120"/>
    <n v="148"/>
    <n v="116"/>
    <n v="152"/>
    <n v="228"/>
    <n v="144"/>
    <n v="228"/>
    <n v="120"/>
    <n v="132"/>
    <n v="176"/>
    <n v="140"/>
    <n v="184"/>
    <n v="184"/>
    <n v="164"/>
    <n v="144"/>
    <n v="124"/>
    <n v="108"/>
    <n v="112"/>
    <n v="184"/>
    <n v="148"/>
    <n v="132"/>
    <n v="112"/>
    <n v="148"/>
    <n v="120"/>
    <n v="160"/>
    <n v="128"/>
    <n v="120"/>
    <n v="168"/>
    <n v="200"/>
    <n v="120"/>
    <n v="112"/>
    <n v="196"/>
    <n v="128"/>
    <n v="120"/>
    <n v="120"/>
    <n v="120"/>
    <n v="140"/>
    <n v="116"/>
    <n v="180"/>
    <n v="108"/>
    <n v="128"/>
    <n v="140"/>
    <n v="120"/>
    <n v="172"/>
  </r>
  <r>
    <n v="152"/>
    <n v="116"/>
    <n v="124"/>
    <n v="160"/>
    <n v="152"/>
    <n v="128"/>
    <n v="120"/>
    <n v="144"/>
    <n v="148"/>
    <n v="120"/>
    <n v="124"/>
    <n v="120"/>
    <n v="132"/>
    <n v="128"/>
    <n v="136"/>
    <n v="152"/>
    <n v="124"/>
    <n v="116"/>
    <n v="124"/>
    <n v="116"/>
    <n v="164"/>
    <n v="116"/>
    <n v="124"/>
    <n v="136"/>
    <n v="120"/>
    <n v="176"/>
    <n v="108"/>
    <n v="120"/>
    <n v="128"/>
    <n v="128"/>
    <n v="316"/>
    <n v="120"/>
    <n v="156"/>
    <n v="156"/>
    <n v="212"/>
    <n v="156"/>
    <n v="168"/>
    <n v="156"/>
    <n v="120"/>
    <n v="148"/>
    <n v="120"/>
    <n v="120"/>
    <n v="120"/>
    <n v="108"/>
    <n v="144"/>
    <n v="196"/>
    <n v="132"/>
    <n v="232"/>
    <n v="176"/>
    <n v="124"/>
    <n v="108"/>
    <n v="120"/>
    <n v="104"/>
    <n v="148"/>
    <n v="116"/>
    <n v="148"/>
    <n v="124"/>
    <n v="116"/>
    <n v="152"/>
    <n v="164"/>
    <n v="180"/>
    <n v="136"/>
    <n v="116"/>
    <n v="248"/>
    <n v="128"/>
    <n v="160"/>
    <n v="140"/>
    <n v="116"/>
    <n v="140"/>
    <n v="144"/>
    <n v="200"/>
    <n v="116"/>
    <n v="124"/>
    <n v="128"/>
    <n v="180"/>
    <n v="108"/>
    <n v="156"/>
    <n v="116"/>
    <n v="120"/>
    <n v="128"/>
  </r>
  <r>
    <n v="172"/>
    <n v="108"/>
    <n v="140"/>
    <n v="116"/>
    <n v="140"/>
    <n v="136"/>
    <n v="132"/>
    <n v="160"/>
    <n v="116"/>
    <n v="116"/>
    <n v="120"/>
    <n v="108"/>
    <n v="132"/>
    <n v="136"/>
    <n v="128"/>
    <n v="120"/>
    <n v="120"/>
    <n v="124"/>
    <n v="120"/>
    <n v="124"/>
    <n v="168"/>
    <n v="116"/>
    <n v="128"/>
    <n v="148"/>
    <n v="128"/>
    <n v="128"/>
    <n v="120"/>
    <n v="136"/>
    <n v="124"/>
    <n v="148"/>
    <n v="152"/>
    <n v="160"/>
    <n v="116"/>
    <n v="116"/>
    <n v="296"/>
    <n v="188"/>
    <n v="152"/>
    <n v="156"/>
    <n v="176"/>
    <n v="184"/>
    <n v="180"/>
    <n v="144"/>
    <n v="116"/>
    <n v="144"/>
    <n v="176"/>
    <n v="168"/>
    <n v="132"/>
    <n v="132"/>
    <n v="244"/>
    <n v="176"/>
    <n v="108"/>
    <n v="164"/>
    <n v="108"/>
    <n v="120"/>
    <n v="140"/>
    <n v="136"/>
    <n v="112"/>
    <n v="164"/>
    <n v="148"/>
    <n v="128"/>
    <n v="180"/>
    <n v="120"/>
    <n v="116"/>
    <n v="120"/>
    <n v="132"/>
    <n v="120"/>
    <n v="112"/>
    <n v="148"/>
    <n v="120"/>
    <n v="116"/>
    <n v="124"/>
    <n v="120"/>
    <n v="148"/>
    <n v="116"/>
    <n v="252"/>
    <n v="160"/>
    <n v="112"/>
    <n v="140"/>
    <n v="120"/>
    <n v="120"/>
  </r>
  <r>
    <n v="120"/>
    <n v="148"/>
    <n v="148"/>
    <n v="120"/>
    <n v="168"/>
    <n v="140"/>
    <n v="116"/>
    <n v="188"/>
    <n v="156"/>
    <n v="120"/>
    <n v="120"/>
    <n v="120"/>
    <n v="108"/>
    <n v="112"/>
    <n v="128"/>
    <n v="112"/>
    <n v="144"/>
    <n v="132"/>
    <n v="112"/>
    <n v="120"/>
    <n v="136"/>
    <n v="128"/>
    <n v="140"/>
    <n v="136"/>
    <n v="120"/>
    <n v="132"/>
    <n v="108"/>
    <n v="112"/>
    <n v="112"/>
    <n v="144"/>
    <n v="128"/>
    <n v="164"/>
    <n v="108"/>
    <n v="136"/>
    <n v="124"/>
    <n v="196"/>
    <n v="156"/>
    <n v="196"/>
    <n v="136"/>
    <n v="228"/>
    <n v="128"/>
    <n v="120"/>
    <n v="148"/>
    <n v="116"/>
    <n v="204"/>
    <n v="208"/>
    <n v="128"/>
    <n v="156"/>
    <n v="284"/>
    <n v="180"/>
    <n v="140"/>
    <n v="120"/>
    <n v="148"/>
    <n v="120"/>
    <n v="120"/>
    <n v="204"/>
    <n v="144"/>
    <n v="124"/>
    <n v="164"/>
    <n v="152"/>
    <n v="224"/>
    <n v="124"/>
    <n v="108"/>
    <n v="120"/>
    <n v="124"/>
    <n v="116"/>
    <n v="132"/>
    <n v="136"/>
    <n v="132"/>
    <n v="124"/>
    <n v="120"/>
    <n v="116"/>
    <n v="120"/>
    <n v="132"/>
    <n v="112"/>
    <n v="116"/>
    <n v="120"/>
    <n v="124"/>
    <n v="144"/>
    <n v="124"/>
  </r>
  <r>
    <n v="136"/>
    <n v="136"/>
    <n v="180"/>
    <n v="136"/>
    <n v="204"/>
    <n v="136"/>
    <n v="116"/>
    <n v="188"/>
    <n v="136"/>
    <n v="152"/>
    <n v="128"/>
    <n v="124"/>
    <n v="112"/>
    <n v="136"/>
    <n v="132"/>
    <n v="104"/>
    <n v="132"/>
    <n v="112"/>
    <n v="132"/>
    <n v="116"/>
    <n v="140"/>
    <n v="136"/>
    <n v="152"/>
    <n v="164"/>
    <n v="132"/>
    <n v="136"/>
    <n v="128"/>
    <n v="112"/>
    <n v="120"/>
    <n v="156"/>
    <n v="176"/>
    <n v="152"/>
    <n v="144"/>
    <n v="172"/>
    <n v="128"/>
    <n v="220"/>
    <n v="176"/>
    <n v="260"/>
    <n v="164"/>
    <n v="300"/>
    <n v="148"/>
    <n v="160"/>
    <n v="120"/>
    <n v="148"/>
    <n v="256"/>
    <n v="244"/>
    <n v="124"/>
    <n v="152"/>
    <n v="112"/>
    <n v="120"/>
    <n v="112"/>
    <n v="128"/>
    <n v="116"/>
    <n v="112"/>
    <n v="156"/>
    <n v="172"/>
    <n v="108"/>
    <n v="128"/>
    <n v="224"/>
    <n v="148"/>
    <n v="108"/>
    <n v="144"/>
    <n v="132"/>
    <n v="124"/>
    <n v="124"/>
    <n v="120"/>
    <n v="124"/>
    <n v="136"/>
    <n v="140"/>
    <n v="140"/>
    <n v="124"/>
    <n v="152"/>
    <n v="140"/>
    <n v="128"/>
    <n v="108"/>
    <n v="112"/>
    <n v="148"/>
    <n v="152"/>
    <n v="184"/>
    <n v="152"/>
  </r>
  <r>
    <n v="120"/>
    <n v="156"/>
    <n v="116"/>
    <n v="112"/>
    <n v="124"/>
    <n v="180"/>
    <n v="132"/>
    <n v="152"/>
    <n v="152"/>
    <n v="148"/>
    <n v="136"/>
    <n v="108"/>
    <n v="128"/>
    <n v="112"/>
    <n v="136"/>
    <n v="112"/>
    <n v="132"/>
    <n v="124"/>
    <n v="136"/>
    <n v="108"/>
    <n v="132"/>
    <n v="156"/>
    <n v="120"/>
    <n v="120"/>
    <n v="116"/>
    <n v="152"/>
    <n v="120"/>
    <n v="140"/>
    <n v="116"/>
    <n v="140"/>
    <n v="120"/>
    <n v="160"/>
    <n v="116"/>
    <n v="108"/>
    <n v="164"/>
    <n v="300"/>
    <n v="164"/>
    <n v="308"/>
    <n v="152"/>
    <n v="148"/>
    <n v="136"/>
    <n v="136"/>
    <n v="148"/>
    <n v="128"/>
    <n v="116"/>
    <n v="116"/>
    <n v="116"/>
    <n v="216"/>
    <n v="116"/>
    <n v="156"/>
    <n v="156"/>
    <n v="152"/>
    <n v="116"/>
    <n v="116"/>
    <n v="140"/>
    <n v="244"/>
    <n v="112"/>
    <n v="160"/>
    <n v="244"/>
    <n v="144"/>
    <n v="104"/>
    <n v="120"/>
    <n v="112"/>
    <n v="124"/>
    <n v="144"/>
    <n v="140"/>
    <n v="132"/>
    <n v="136"/>
    <n v="144"/>
    <n v="120"/>
    <n v="116"/>
    <n v="124"/>
    <n v="116"/>
    <n v="120"/>
    <n v="100"/>
    <n v="116"/>
    <n v="124"/>
    <n v="144"/>
    <n v="144"/>
    <n v="124"/>
  </r>
  <r>
    <n v="132"/>
    <n v="120"/>
    <n v="140"/>
    <n v="116"/>
    <n v="128"/>
    <n v="176"/>
    <n v="120"/>
    <n v="196"/>
    <n v="208"/>
    <n v="144"/>
    <n v="128"/>
    <n v="120"/>
    <n v="128"/>
    <n v="120"/>
    <n v="144"/>
    <n v="116"/>
    <n v="144"/>
    <n v="120"/>
    <n v="144"/>
    <n v="104"/>
    <n v="132"/>
    <n v="120"/>
    <n v="132"/>
    <n v="144"/>
    <n v="128"/>
    <n v="120"/>
    <n v="112"/>
    <n v="120"/>
    <n v="124"/>
    <n v="132"/>
    <n v="124"/>
    <n v="156"/>
    <n v="152"/>
    <n v="152"/>
    <n v="124"/>
    <n v="120"/>
    <n v="268"/>
    <n v="116"/>
    <n v="128"/>
    <n v="120"/>
    <n v="116"/>
    <n v="140"/>
    <n v="120"/>
    <n v="136"/>
    <n v="144"/>
    <n v="136"/>
    <n v="120"/>
    <n v="232"/>
    <n v="104"/>
    <n v="152"/>
    <n v="132"/>
    <n v="120"/>
    <n v="140"/>
    <n v="148"/>
    <n v="112"/>
    <n v="268"/>
    <n v="152"/>
    <n v="112"/>
    <n v="136"/>
    <n v="160"/>
    <n v="128"/>
    <n v="116"/>
    <n v="116"/>
    <n v="140"/>
    <n v="120"/>
    <n v="136"/>
    <n v="164"/>
    <n v="172"/>
    <n v="144"/>
    <n v="140"/>
    <n v="132"/>
    <n v="124"/>
    <n v="140"/>
    <n v="168"/>
    <n v="100"/>
    <n v="116"/>
    <n v="152"/>
    <n v="144"/>
    <n v="152"/>
    <n v="124"/>
  </r>
  <r>
    <n v="124"/>
    <n v="128"/>
    <n v="140"/>
    <n v="128"/>
    <n v="132"/>
    <n v="108"/>
    <n v="136"/>
    <n v="176"/>
    <n v="128"/>
    <n v="140"/>
    <n v="124"/>
    <n v="116"/>
    <n v="120"/>
    <n v="132"/>
    <n v="128"/>
    <n v="124"/>
    <n v="128"/>
    <n v="136"/>
    <n v="132"/>
    <n v="116"/>
    <n v="132"/>
    <n v="128"/>
    <n v="132"/>
    <n v="124"/>
    <n v="120"/>
    <n v="144"/>
    <n v="104"/>
    <n v="120"/>
    <n v="144"/>
    <n v="140"/>
    <n v="164"/>
    <n v="184"/>
    <n v="152"/>
    <n v="116"/>
    <n v="164"/>
    <n v="124"/>
    <n v="188"/>
    <n v="156"/>
    <n v="176"/>
    <n v="124"/>
    <n v="136"/>
    <n v="140"/>
    <n v="144"/>
    <n v="116"/>
    <n v="136"/>
    <n v="148"/>
    <n v="116"/>
    <n v="140"/>
    <n v="104"/>
    <n v="180"/>
    <n v="160"/>
    <n v="160"/>
    <n v="164"/>
    <n v="116"/>
    <n v="156"/>
    <n v="120"/>
    <n v="116"/>
    <n v="176"/>
    <n v="144"/>
    <n v="140"/>
    <n v="132"/>
    <n v="148"/>
    <n v="120"/>
    <n v="136"/>
    <n v="120"/>
    <n v="132"/>
    <n v="156"/>
    <n v="160"/>
    <n v="156"/>
    <n v="116"/>
    <n v="168"/>
    <n v="140"/>
    <n v="144"/>
    <n v="140"/>
    <n v="108"/>
    <n v="108"/>
    <n v="112"/>
    <n v="124"/>
    <n v="136"/>
    <n v="120"/>
  </r>
  <r>
    <n v="116"/>
    <n v="124"/>
    <n v="116"/>
    <n v="116"/>
    <n v="124"/>
    <n v="128"/>
    <n v="144"/>
    <n v="208"/>
    <n v="140"/>
    <n v="132"/>
    <n v="124"/>
    <n v="120"/>
    <n v="116"/>
    <n v="132"/>
    <n v="188"/>
    <n v="112"/>
    <n v="116"/>
    <n v="144"/>
    <n v="120"/>
    <n v="116"/>
    <n v="160"/>
    <n v="120"/>
    <n v="132"/>
    <n v="116"/>
    <n v="124"/>
    <n v="144"/>
    <n v="120"/>
    <n v="124"/>
    <n v="156"/>
    <n v="136"/>
    <n v="128"/>
    <n v="200"/>
    <n v="124"/>
    <n v="148"/>
    <n v="124"/>
    <n v="160"/>
    <n v="260"/>
    <n v="112"/>
    <n v="180"/>
    <n v="124"/>
    <n v="144"/>
    <n v="148"/>
    <n v="124"/>
    <n v="136"/>
    <n v="168"/>
    <n v="148"/>
    <n v="108"/>
    <n v="160"/>
    <n v="128"/>
    <n v="196"/>
    <n v="156"/>
    <n v="128"/>
    <n v="108"/>
    <n v="116"/>
    <n v="116"/>
    <n v="120"/>
    <n v="144"/>
    <n v="116"/>
    <n v="180"/>
    <n v="160"/>
    <n v="132"/>
    <n v="112"/>
    <n v="124"/>
    <n v="160"/>
    <n v="124"/>
    <n v="120"/>
    <n v="168"/>
    <n v="252"/>
    <n v="160"/>
    <n v="136"/>
    <n v="116"/>
    <n v="136"/>
    <n v="144"/>
    <n v="116"/>
    <n v="108"/>
    <n v="116"/>
    <n v="140"/>
    <n v="160"/>
    <n v="136"/>
    <n v="152"/>
  </r>
  <r>
    <n v="116"/>
    <n v="124"/>
    <n v="132"/>
    <n v="140"/>
    <n v="128"/>
    <n v="116"/>
    <n v="128"/>
    <n v="140"/>
    <n v="144"/>
    <n v="124"/>
    <n v="132"/>
    <n v="128"/>
    <n v="128"/>
    <n v="112"/>
    <n v="136"/>
    <n v="112"/>
    <n v="132"/>
    <n v="112"/>
    <n v="112"/>
    <n v="116"/>
    <n v="216"/>
    <n v="116"/>
    <n v="128"/>
    <n v="128"/>
    <n v="124"/>
    <n v="160"/>
    <n v="108"/>
    <n v="112"/>
    <n v="196"/>
    <n v="116"/>
    <n v="156"/>
    <n v="300"/>
    <n v="172"/>
    <n v="148"/>
    <n v="168"/>
    <n v="124"/>
    <n v="296"/>
    <n v="144"/>
    <n v="144"/>
    <n v="160"/>
    <n v="176"/>
    <n v="160"/>
    <n v="148"/>
    <n v="148"/>
    <n v="156"/>
    <n v="148"/>
    <n v="116"/>
    <n v="168"/>
    <n v="116"/>
    <n v="272"/>
    <n v="120"/>
    <n v="156"/>
    <n v="144"/>
    <n v="108"/>
    <n v="124"/>
    <n v="116"/>
    <n v="112"/>
    <n v="148"/>
    <n v="168"/>
    <n v="200"/>
    <n v="156"/>
    <n v="132"/>
    <n v="144"/>
    <n v="124"/>
    <n v="116"/>
    <n v="116"/>
    <n v="156"/>
    <n v="112"/>
    <n v="204"/>
    <n v="132"/>
    <n v="112"/>
    <n v="172"/>
    <n v="160"/>
    <n v="112"/>
    <n v="108"/>
    <n v="108"/>
    <n v="140"/>
    <n v="180"/>
    <n v="144"/>
    <n v="120"/>
  </r>
  <r>
    <n v="156"/>
    <n v="124"/>
    <n v="132"/>
    <n v="124"/>
    <n v="200"/>
    <n v="132"/>
    <n v="148"/>
    <n v="144"/>
    <n v="160"/>
    <n v="112"/>
    <n v="120"/>
    <n v="132"/>
    <n v="108"/>
    <n v="128"/>
    <n v="140"/>
    <n v="116"/>
    <n v="124"/>
    <n v="124"/>
    <n v="116"/>
    <n v="116"/>
    <n v="132"/>
    <n v="116"/>
    <n v="168"/>
    <n v="128"/>
    <n v="120"/>
    <n v="188"/>
    <n v="116"/>
    <n v="132"/>
    <n v="152"/>
    <n v="120"/>
    <n v="120"/>
    <n v="288"/>
    <n v="172"/>
    <n v="112"/>
    <n v="160"/>
    <n v="164"/>
    <n v="116"/>
    <n v="156"/>
    <n v="180"/>
    <n v="116"/>
    <n v="180"/>
    <n v="160"/>
    <n v="144"/>
    <n v="152"/>
    <n v="184"/>
    <n v="140"/>
    <n v="116"/>
    <n v="240"/>
    <n v="148"/>
    <n v="280"/>
    <n v="140"/>
    <n v="116"/>
    <n v="112"/>
    <n v="128"/>
    <n v="236"/>
    <n v="116"/>
    <n v="144"/>
    <n v="116"/>
    <n v="136"/>
    <n v="212"/>
    <n v="120"/>
    <n v="108"/>
    <n v="128"/>
    <n v="120"/>
    <n v="144"/>
    <n v="148"/>
    <n v="172"/>
    <n v="112"/>
    <n v="124"/>
    <n v="120"/>
    <n v="116"/>
    <n v="176"/>
    <n v="140"/>
    <n v="116"/>
    <n v="120"/>
    <n v="112"/>
    <n v="116"/>
    <n v="240"/>
    <n v="132"/>
    <n v="116"/>
  </r>
  <r>
    <n v="136"/>
    <n v="124"/>
    <n v="132"/>
    <n v="128"/>
    <n v="188"/>
    <n v="160"/>
    <n v="120"/>
    <n v="160"/>
    <n v="172"/>
    <n v="128"/>
    <n v="124"/>
    <n v="124"/>
    <n v="108"/>
    <n v="128"/>
    <n v="144"/>
    <n v="140"/>
    <n v="132"/>
    <n v="128"/>
    <n v="116"/>
    <n v="108"/>
    <n v="144"/>
    <n v="124"/>
    <n v="160"/>
    <n v="120"/>
    <n v="124"/>
    <n v="136"/>
    <n v="128"/>
    <n v="112"/>
    <n v="116"/>
    <n v="116"/>
    <n v="156"/>
    <n v="120"/>
    <n v="156"/>
    <n v="148"/>
    <n v="156"/>
    <n v="120"/>
    <n v="144"/>
    <n v="112"/>
    <n v="176"/>
    <n v="120"/>
    <n v="204"/>
    <n v="248"/>
    <n v="136"/>
    <n v="136"/>
    <n v="232"/>
    <n v="168"/>
    <n v="120"/>
    <n v="140"/>
    <n v="112"/>
    <n v="112"/>
    <n v="152"/>
    <n v="152"/>
    <n v="140"/>
    <n v="156"/>
    <n v="116"/>
    <n v="124"/>
    <n v="124"/>
    <n v="160"/>
    <n v="132"/>
    <n v="112"/>
    <n v="116"/>
    <n v="140"/>
    <n v="132"/>
    <n v="124"/>
    <n v="124"/>
    <n v="116"/>
    <n v="228"/>
    <n v="112"/>
    <n v="200"/>
    <n v="128"/>
    <n v="112"/>
    <n v="124"/>
    <n v="160"/>
    <n v="116"/>
    <n v="116"/>
    <n v="148"/>
    <n v="148"/>
    <n v="112"/>
    <n v="164"/>
    <n v="160"/>
  </r>
  <r>
    <n v="128"/>
    <n v="136"/>
    <n v="128"/>
    <n v="112"/>
    <n v="136"/>
    <n v="132"/>
    <n v="172"/>
    <n v="196"/>
    <n v="168"/>
    <n v="136"/>
    <n v="124"/>
    <n v="132"/>
    <n v="120"/>
    <n v="120"/>
    <n v="128"/>
    <n v="128"/>
    <n v="124"/>
    <n v="124"/>
    <n v="120"/>
    <n v="112"/>
    <n v="136"/>
    <n v="128"/>
    <n v="160"/>
    <n v="132"/>
    <n v="136"/>
    <n v="156"/>
    <n v="116"/>
    <n v="116"/>
    <n v="128"/>
    <n v="128"/>
    <n v="120"/>
    <n v="116"/>
    <n v="192"/>
    <n v="148"/>
    <n v="160"/>
    <n v="160"/>
    <n v="140"/>
    <n v="148"/>
    <n v="276"/>
    <n v="120"/>
    <n v="228"/>
    <n v="108"/>
    <n v="148"/>
    <n v="136"/>
    <n v="140"/>
    <n v="152"/>
    <n v="168"/>
    <n v="168"/>
    <n v="104"/>
    <n v="108"/>
    <n v="184"/>
    <n v="152"/>
    <n v="120"/>
    <n v="116"/>
    <n v="152"/>
    <n v="160"/>
    <n v="184"/>
    <n v="156"/>
    <n v="152"/>
    <n v="116"/>
    <n v="120"/>
    <n v="136"/>
    <n v="124"/>
    <n v="112"/>
    <n v="120"/>
    <n v="144"/>
    <n v="140"/>
    <n v="108"/>
    <n v="128"/>
    <n v="188"/>
    <n v="112"/>
    <n v="144"/>
    <n v="208"/>
    <n v="112"/>
    <n v="156"/>
    <n v="108"/>
    <n v="144"/>
    <n v="120"/>
    <n v="116"/>
    <n v="140"/>
  </r>
  <r>
    <n v="168"/>
    <n v="152"/>
    <n v="132"/>
    <n v="128"/>
    <n v="124"/>
    <n v="144"/>
    <n v="140"/>
    <n v="184"/>
    <n v="116"/>
    <n v="120"/>
    <n v="120"/>
    <n v="132"/>
    <n v="124"/>
    <n v="124"/>
    <n v="140"/>
    <n v="124"/>
    <n v="120"/>
    <n v="152"/>
    <n v="132"/>
    <n v="116"/>
    <n v="148"/>
    <n v="128"/>
    <n v="132"/>
    <n v="124"/>
    <n v="140"/>
    <n v="164"/>
    <n v="128"/>
    <n v="112"/>
    <n v="120"/>
    <n v="112"/>
    <n v="168"/>
    <n v="120"/>
    <n v="204"/>
    <n v="188"/>
    <n v="156"/>
    <n v="116"/>
    <n v="156"/>
    <n v="160"/>
    <n v="292"/>
    <n v="156"/>
    <n v="116"/>
    <n v="120"/>
    <n v="148"/>
    <n v="160"/>
    <n v="144"/>
    <n v="248"/>
    <n v="112"/>
    <n v="184"/>
    <n v="124"/>
    <n v="112"/>
    <n v="180"/>
    <n v="144"/>
    <n v="148"/>
    <n v="116"/>
    <n v="112"/>
    <n v="120"/>
    <n v="192"/>
    <n v="156"/>
    <n v="120"/>
    <n v="116"/>
    <n v="116"/>
    <n v="152"/>
    <n v="164"/>
    <n v="108"/>
    <n v="140"/>
    <n v="136"/>
    <n v="116"/>
    <n v="128"/>
    <n v="128"/>
    <n v="156"/>
    <n v="156"/>
    <n v="120"/>
    <n v="240"/>
    <n v="120"/>
    <n v="108"/>
    <n v="124"/>
    <n v="172"/>
    <n v="112"/>
    <n v="124"/>
    <n v="156"/>
  </r>
  <r>
    <n v="172"/>
    <n v="176"/>
    <n v="132"/>
    <n v="128"/>
    <n v="172"/>
    <n v="148"/>
    <n v="136"/>
    <n v="188"/>
    <n v="116"/>
    <n v="112"/>
    <n v="124"/>
    <n v="120"/>
    <n v="124"/>
    <n v="124"/>
    <n v="132"/>
    <n v="116"/>
    <n v="120"/>
    <n v="144"/>
    <n v="116"/>
    <n v="108"/>
    <n v="152"/>
    <n v="152"/>
    <n v="124"/>
    <n v="128"/>
    <n v="156"/>
    <n v="152"/>
    <n v="116"/>
    <n v="136"/>
    <n v="128"/>
    <n v="132"/>
    <n v="168"/>
    <n v="144"/>
    <n v="260"/>
    <n v="252"/>
    <n v="200"/>
    <n v="180"/>
    <n v="152"/>
    <n v="244"/>
    <n v="116"/>
    <n v="116"/>
    <n v="168"/>
    <n v="136"/>
    <n v="172"/>
    <n v="212"/>
    <n v="152"/>
    <n v="120"/>
    <n v="124"/>
    <n v="228"/>
    <n v="156"/>
    <n v="120"/>
    <n v="240"/>
    <n v="172"/>
    <n v="144"/>
    <n v="116"/>
    <n v="176"/>
    <n v="120"/>
    <n v="176"/>
    <n v="148"/>
    <n v="152"/>
    <n v="140"/>
    <n v="140"/>
    <n v="152"/>
    <n v="124"/>
    <n v="132"/>
    <n v="132"/>
    <n v="128"/>
    <n v="120"/>
    <n v="108"/>
    <n v="128"/>
    <n v="160"/>
    <n v="116"/>
    <n v="120"/>
    <n v="116"/>
    <n v="120"/>
    <n v="104"/>
    <n v="116"/>
    <n v="180"/>
    <n v="116"/>
    <n v="136"/>
    <n v="132"/>
  </r>
  <r>
    <n v="116"/>
    <n v="148"/>
    <n v="140"/>
    <n v="132"/>
    <n v="128"/>
    <n v="164"/>
    <n v="136"/>
    <n v="172"/>
    <n v="116"/>
    <n v="124"/>
    <n v="132"/>
    <n v="132"/>
    <n v="192"/>
    <n v="128"/>
    <n v="112"/>
    <n v="120"/>
    <n v="120"/>
    <n v="124"/>
    <n v="124"/>
    <n v="124"/>
    <n v="148"/>
    <n v="104"/>
    <n v="156"/>
    <n v="132"/>
    <n v="116"/>
    <n v="128"/>
    <n v="132"/>
    <n v="120"/>
    <n v="116"/>
    <n v="120"/>
    <n v="160"/>
    <n v="112"/>
    <n v="328"/>
    <n v="232"/>
    <n v="240"/>
    <n v="160"/>
    <n v="152"/>
    <n v="216"/>
    <n v="120"/>
    <n v="120"/>
    <n v="116"/>
    <n v="116"/>
    <n v="180"/>
    <n v="224"/>
    <n v="164"/>
    <n v="144"/>
    <n v="136"/>
    <n v="156"/>
    <n v="116"/>
    <n v="112"/>
    <n v="292"/>
    <n v="156"/>
    <n v="148"/>
    <n v="156"/>
    <n v="124"/>
    <n v="124"/>
    <n v="140"/>
    <n v="144"/>
    <n v="152"/>
    <n v="112"/>
    <n v="120"/>
    <n v="136"/>
    <n v="120"/>
    <n v="116"/>
    <n v="240"/>
    <n v="132"/>
    <n v="148"/>
    <n v="108"/>
    <n v="128"/>
    <n v="200"/>
    <n v="128"/>
    <n v="144"/>
    <n v="120"/>
    <n v="108"/>
    <n v="112"/>
    <n v="112"/>
    <n v="272"/>
    <n v="116"/>
    <n v="140"/>
    <n v="148"/>
  </r>
  <r>
    <n v="144"/>
    <n v="116"/>
    <n v="124"/>
    <n v="144"/>
    <n v="152"/>
    <n v="108"/>
    <n v="136"/>
    <n v="184"/>
    <n v="132"/>
    <n v="120"/>
    <n v="132"/>
    <n v="128"/>
    <n v="200"/>
    <n v="124"/>
    <n v="124"/>
    <n v="120"/>
    <n v="120"/>
    <n v="132"/>
    <n v="120"/>
    <n v="116"/>
    <n v="144"/>
    <n v="128"/>
    <n v="116"/>
    <n v="136"/>
    <n v="116"/>
    <n v="152"/>
    <n v="124"/>
    <n v="148"/>
    <n v="124"/>
    <n v="124"/>
    <n v="184"/>
    <n v="124"/>
    <n v="112"/>
    <n v="300"/>
    <n v="304"/>
    <n v="164"/>
    <n v="252"/>
    <n v="252"/>
    <n v="112"/>
    <n v="112"/>
    <n v="136"/>
    <n v="136"/>
    <n v="260"/>
    <n v="132"/>
    <n v="172"/>
    <n v="132"/>
    <n v="136"/>
    <n v="192"/>
    <n v="160"/>
    <n v="116"/>
    <n v="156"/>
    <n v="184"/>
    <n v="152"/>
    <n v="124"/>
    <n v="156"/>
    <n v="124"/>
    <n v="152"/>
    <n v="188"/>
    <n v="164"/>
    <n v="116"/>
    <n v="116"/>
    <n v="164"/>
    <n v="144"/>
    <n v="120"/>
    <n v="136"/>
    <n v="152"/>
    <n v="120"/>
    <n v="108"/>
    <n v="128"/>
    <n v="124"/>
    <n v="120"/>
    <n v="112"/>
    <n v="128"/>
    <n v="160"/>
    <n v="108"/>
    <n v="116"/>
    <n v="136"/>
    <n v="116"/>
    <n v="136"/>
    <n v="144"/>
  </r>
  <r>
    <n v="112"/>
    <n v="136"/>
    <n v="128"/>
    <n v="160"/>
    <n v="200"/>
    <n v="180"/>
    <n v="156"/>
    <n v="128"/>
    <n v="120"/>
    <n v="128"/>
    <n v="152"/>
    <n v="120"/>
    <n v="120"/>
    <n v="128"/>
    <n v="120"/>
    <n v="116"/>
    <n v="116"/>
    <n v="136"/>
    <n v="120"/>
    <n v="116"/>
    <n v="132"/>
    <n v="112"/>
    <n v="128"/>
    <n v="144"/>
    <n v="116"/>
    <n v="156"/>
    <n v="152"/>
    <n v="156"/>
    <n v="120"/>
    <n v="116"/>
    <n v="292"/>
    <n v="148"/>
    <n v="116"/>
    <n v="116"/>
    <n v="192"/>
    <n v="152"/>
    <n v="228"/>
    <n v="304"/>
    <n v="128"/>
    <n v="152"/>
    <n v="140"/>
    <n v="136"/>
    <n v="116"/>
    <n v="112"/>
    <n v="232"/>
    <n v="136"/>
    <n v="140"/>
    <n v="228"/>
    <n v="120"/>
    <n v="156"/>
    <n v="120"/>
    <n v="224"/>
    <n v="176"/>
    <n v="128"/>
    <n v="164"/>
    <n v="168"/>
    <n v="188"/>
    <n v="208"/>
    <n v="120"/>
    <n v="136"/>
    <n v="112"/>
    <n v="188"/>
    <n v="112"/>
    <n v="108"/>
    <n v="116"/>
    <n v="132"/>
    <n v="120"/>
    <n v="140"/>
    <n v="156"/>
    <n v="128"/>
    <n v="120"/>
    <n v="112"/>
    <n v="116"/>
    <n v="120"/>
    <n v="116"/>
    <n v="112"/>
    <n v="116"/>
    <n v="116"/>
    <n v="172"/>
    <n v="136"/>
  </r>
  <r>
    <n v="148"/>
    <n v="116"/>
    <n v="136"/>
    <n v="164"/>
    <n v="136"/>
    <n v="136"/>
    <n v="204"/>
    <n v="160"/>
    <n v="140"/>
    <n v="152"/>
    <n v="124"/>
    <n v="136"/>
    <n v="120"/>
    <n v="124"/>
    <n v="116"/>
    <n v="132"/>
    <n v="124"/>
    <n v="140"/>
    <n v="112"/>
    <n v="112"/>
    <n v="124"/>
    <n v="124"/>
    <n v="128"/>
    <n v="116"/>
    <n v="108"/>
    <n v="156"/>
    <n v="152"/>
    <n v="148"/>
    <n v="132"/>
    <n v="156"/>
    <n v="180"/>
    <n v="112"/>
    <n v="132"/>
    <n v="144"/>
    <n v="120"/>
    <n v="168"/>
    <n v="304"/>
    <n v="128"/>
    <n v="172"/>
    <n v="132"/>
    <n v="144"/>
    <n v="120"/>
    <n v="128"/>
    <n v="120"/>
    <n v="228"/>
    <n v="148"/>
    <n v="136"/>
    <n v="264"/>
    <n v="120"/>
    <n v="128"/>
    <n v="128"/>
    <n v="260"/>
    <n v="184"/>
    <n v="152"/>
    <n v="156"/>
    <n v="132"/>
    <n v="228"/>
    <n v="256"/>
    <n v="136"/>
    <n v="120"/>
    <n v="140"/>
    <n v="228"/>
    <n v="112"/>
    <n v="108"/>
    <n v="116"/>
    <n v="168"/>
    <n v="120"/>
    <n v="108"/>
    <n v="128"/>
    <n v="120"/>
    <n v="156"/>
    <n v="136"/>
    <n v="120"/>
    <n v="116"/>
    <n v="104"/>
    <n v="156"/>
    <n v="136"/>
    <n v="112"/>
    <n v="128"/>
    <n v="148"/>
  </r>
  <r>
    <n v="136"/>
    <n v="140"/>
    <n v="152"/>
    <n v="172"/>
    <n v="124"/>
    <n v="140"/>
    <n v="208"/>
    <n v="180"/>
    <n v="132"/>
    <n v="164"/>
    <n v="124"/>
    <n v="136"/>
    <n v="116"/>
    <n v="124"/>
    <n v="128"/>
    <n v="132"/>
    <n v="172"/>
    <n v="112"/>
    <n v="120"/>
    <n v="124"/>
    <n v="200"/>
    <n v="120"/>
    <n v="128"/>
    <n v="124"/>
    <n v="132"/>
    <n v="140"/>
    <n v="160"/>
    <n v="120"/>
    <n v="128"/>
    <n v="148"/>
    <n v="300"/>
    <n v="140"/>
    <n v="180"/>
    <n v="108"/>
    <n v="156"/>
    <n v="196"/>
    <n v="120"/>
    <n v="160"/>
    <n v="132"/>
    <n v="128"/>
    <n v="152"/>
    <n v="148"/>
    <n v="152"/>
    <n v="116"/>
    <n v="132"/>
    <n v="140"/>
    <n v="140"/>
    <n v="152"/>
    <n v="120"/>
    <n v="108"/>
    <n v="120"/>
    <n v="120"/>
    <n v="188"/>
    <n v="108"/>
    <n v="152"/>
    <n v="132"/>
    <n v="260"/>
    <n v="116"/>
    <n v="120"/>
    <n v="124"/>
    <n v="120"/>
    <n v="124"/>
    <n v="148"/>
    <n v="124"/>
    <n v="136"/>
    <n v="244"/>
    <n v="140"/>
    <n v="108"/>
    <n v="124"/>
    <n v="116"/>
    <n v="120"/>
    <n v="108"/>
    <n v="116"/>
    <n v="120"/>
    <n v="108"/>
    <n v="120"/>
    <n v="124"/>
    <n v="120"/>
    <n v="120"/>
    <n v="152"/>
  </r>
  <r>
    <n v="144"/>
    <n v="140"/>
    <n v="168"/>
    <n v="112"/>
    <n v="124"/>
    <n v="140"/>
    <n v="116"/>
    <n v="188"/>
    <n v="116"/>
    <n v="120"/>
    <n v="212"/>
    <n v="136"/>
    <n v="120"/>
    <n v="124"/>
    <n v="124"/>
    <n v="124"/>
    <n v="124"/>
    <n v="120"/>
    <n v="124"/>
    <n v="120"/>
    <n v="144"/>
    <n v="128"/>
    <n v="136"/>
    <n v="280"/>
    <n v="112"/>
    <n v="164"/>
    <n v="176"/>
    <n v="164"/>
    <n v="136"/>
    <n v="160"/>
    <n v="308"/>
    <n v="136"/>
    <n v="116"/>
    <n v="152"/>
    <n v="112"/>
    <n v="188"/>
    <n v="164"/>
    <n v="112"/>
    <n v="132"/>
    <n v="176"/>
    <n v="148"/>
    <n v="136"/>
    <n v="124"/>
    <n v="124"/>
    <n v="148"/>
    <n v="152"/>
    <n v="136"/>
    <n v="168"/>
    <n v="116"/>
    <n v="128"/>
    <n v="124"/>
    <n v="112"/>
    <n v="312"/>
    <n v="112"/>
    <n v="192"/>
    <n v="124"/>
    <n v="124"/>
    <n v="128"/>
    <n v="136"/>
    <n v="144"/>
    <n v="120"/>
    <n v="120"/>
    <n v="116"/>
    <n v="108"/>
    <n v="120"/>
    <n v="120"/>
    <n v="116"/>
    <n v="136"/>
    <n v="124"/>
    <n v="120"/>
    <n v="120"/>
    <n v="140"/>
    <n v="136"/>
    <n v="132"/>
    <n v="148"/>
    <n v="124"/>
    <n v="112"/>
    <n v="152"/>
    <n v="128"/>
    <n v="188"/>
  </r>
  <r>
    <n v="128"/>
    <n v="124"/>
    <n v="108"/>
    <n v="116"/>
    <n v="140"/>
    <n v="140"/>
    <n v="124"/>
    <n v="148"/>
    <n v="136"/>
    <n v="152"/>
    <n v="132"/>
    <n v="120"/>
    <n v="128"/>
    <n v="128"/>
    <n v="136"/>
    <n v="136"/>
    <n v="136"/>
    <n v="124"/>
    <n v="116"/>
    <n v="168"/>
    <n v="168"/>
    <n v="124"/>
    <n v="136"/>
    <n v="116"/>
    <n v="108"/>
    <n v="132"/>
    <n v="144"/>
    <n v="160"/>
    <n v="136"/>
    <n v="156"/>
    <n v="112"/>
    <n v="144"/>
    <n v="112"/>
    <n v="112"/>
    <n v="152"/>
    <n v="336"/>
    <n v="156"/>
    <n v="156"/>
    <n v="116"/>
    <n v="124"/>
    <n v="180"/>
    <n v="168"/>
    <n v="152"/>
    <n v="152"/>
    <n v="124"/>
    <n v="196"/>
    <n v="116"/>
    <n v="216"/>
    <n v="168"/>
    <n v="140"/>
    <n v="124"/>
    <n v="132"/>
    <n v="128"/>
    <n v="148"/>
    <n v="188"/>
    <n v="156"/>
    <n v="144"/>
    <n v="140"/>
    <n v="140"/>
    <n v="120"/>
    <n v="120"/>
    <n v="124"/>
    <n v="140"/>
    <n v="116"/>
    <n v="144"/>
    <n v="148"/>
    <n v="120"/>
    <n v="104"/>
    <n v="124"/>
    <n v="132"/>
    <n v="116"/>
    <n v="120"/>
    <n v="120"/>
    <n v="136"/>
    <n v="112"/>
    <n v="116"/>
    <n v="116"/>
    <n v="128"/>
    <n v="144"/>
    <n v="180"/>
  </r>
  <r>
    <n v="128"/>
    <n v="132"/>
    <n v="120"/>
    <n v="132"/>
    <n v="176"/>
    <n v="148"/>
    <n v="124"/>
    <n v="144"/>
    <n v="120"/>
    <n v="156"/>
    <n v="112"/>
    <n v="140"/>
    <n v="116"/>
    <n v="124"/>
    <n v="108"/>
    <n v="112"/>
    <n v="120"/>
    <n v="136"/>
    <n v="120"/>
    <n v="184"/>
    <n v="156"/>
    <n v="160"/>
    <n v="140"/>
    <n v="124"/>
    <n v="112"/>
    <n v="132"/>
    <n v="164"/>
    <n v="112"/>
    <n v="140"/>
    <n v="148"/>
    <n v="124"/>
    <n v="112"/>
    <n v="148"/>
    <n v="120"/>
    <n v="164"/>
    <n v="120"/>
    <n v="352"/>
    <n v="164"/>
    <n v="160"/>
    <n v="176"/>
    <n v="252"/>
    <n v="172"/>
    <n v="128"/>
    <n v="144"/>
    <n v="156"/>
    <n v="228"/>
    <n v="168"/>
    <n v="236"/>
    <n v="124"/>
    <n v="144"/>
    <n v="120"/>
    <n v="112"/>
    <n v="116"/>
    <n v="112"/>
    <n v="284"/>
    <n v="128"/>
    <n v="104"/>
    <n v="128"/>
    <n v="132"/>
    <n v="140"/>
    <n v="128"/>
    <n v="120"/>
    <n v="120"/>
    <n v="144"/>
    <n v="136"/>
    <n v="120"/>
    <n v="144"/>
    <n v="112"/>
    <n v="128"/>
    <n v="120"/>
    <n v="112"/>
    <n v="140"/>
    <n v="120"/>
    <n v="136"/>
    <n v="112"/>
    <n v="120"/>
    <n v="116"/>
    <n v="128"/>
    <n v="156"/>
    <n v="244"/>
  </r>
  <r>
    <n v="152"/>
    <n v="132"/>
    <n v="124"/>
    <n v="116"/>
    <n v="172"/>
    <n v="164"/>
    <n v="128"/>
    <n v="292"/>
    <n v="132"/>
    <n v="148"/>
    <n v="120"/>
    <n v="112"/>
    <n v="112"/>
    <n v="140"/>
    <n v="124"/>
    <n v="160"/>
    <n v="132"/>
    <n v="132"/>
    <n v="132"/>
    <n v="140"/>
    <n v="120"/>
    <n v="120"/>
    <n v="140"/>
    <n v="148"/>
    <n v="140"/>
    <n v="156"/>
    <n v="116"/>
    <n v="104"/>
    <n v="156"/>
    <n v="128"/>
    <n v="172"/>
    <n v="144"/>
    <n v="120"/>
    <n v="112"/>
    <n v="116"/>
    <n v="116"/>
    <n v="160"/>
    <n v="160"/>
    <n v="140"/>
    <n v="128"/>
    <n v="228"/>
    <n v="176"/>
    <n v="152"/>
    <n v="140"/>
    <n v="184"/>
    <n v="116"/>
    <n v="128"/>
    <n v="136"/>
    <n v="124"/>
    <n v="184"/>
    <n v="164"/>
    <n v="132"/>
    <n v="108"/>
    <n v="148"/>
    <n v="308"/>
    <n v="124"/>
    <n v="108"/>
    <n v="132"/>
    <n v="172"/>
    <n v="116"/>
    <n v="112"/>
    <n v="120"/>
    <n v="140"/>
    <n v="136"/>
    <n v="156"/>
    <n v="124"/>
    <n v="116"/>
    <n v="140"/>
    <n v="148"/>
    <n v="148"/>
    <n v="140"/>
    <n v="132"/>
    <n v="116"/>
    <n v="136"/>
    <n v="108"/>
    <n v="120"/>
    <n v="116"/>
    <n v="128"/>
    <n v="132"/>
    <n v="1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552"/>
    <n v="1900"/>
    <n v="1540"/>
    <n v="1372"/>
    <n v="1720"/>
    <n v="2364"/>
    <n v="1276"/>
    <n v="1384"/>
    <n v="1576"/>
    <n v="1316"/>
    <n v="2032"/>
    <n v="1748"/>
    <n v="1576"/>
    <n v="1272"/>
    <n v="1724"/>
    <n v="7784"/>
    <n v="1756"/>
    <n v="1436"/>
    <n v="1304"/>
    <n v="1384"/>
    <n v="1456"/>
    <n v="1636"/>
    <n v="1680"/>
    <n v="1624"/>
    <n v="4396"/>
    <n v="1464"/>
    <n v="1900"/>
    <n v="1528"/>
    <n v="1600"/>
    <n v="1704"/>
    <n v="2488"/>
    <n v="1296"/>
    <n v="2280"/>
    <n v="1752"/>
    <n v="4380"/>
    <n v="1572"/>
    <n v="2180"/>
    <n v="1872"/>
    <n v="1552"/>
    <n v="1696"/>
    <n v="2260"/>
    <n v="2584"/>
    <n v="1596"/>
    <n v="2372"/>
    <n v="2180"/>
    <n v="1428"/>
    <n v="1520"/>
    <n v="1896"/>
    <n v="1856"/>
    <n v="1716"/>
    <n v="2340"/>
    <n v="1596"/>
    <n v="1488"/>
    <n v="12552"/>
    <n v="3028"/>
    <n v="2356"/>
    <n v="1756"/>
    <n v="1544"/>
    <n v="2396"/>
    <n v="1484"/>
    <n v="1364"/>
    <n v="1572"/>
    <n v="1964"/>
    <n v="1440"/>
    <n v="2140"/>
    <n v="2964"/>
    <n v="1756"/>
    <n v="1392"/>
    <n v="1396"/>
    <n v="1620"/>
    <n v="1844"/>
    <n v="8840"/>
    <n v="2484"/>
    <n v="1576"/>
    <n v="2164"/>
    <n v="2760"/>
    <n v="1908"/>
    <n v="7352"/>
    <n v="3572"/>
    <n v="1892"/>
  </r>
  <r>
    <n v="30464"/>
    <n v="1480"/>
    <n v="1888"/>
    <n v="2012"/>
    <n v="1372"/>
    <n v="1464"/>
    <n v="5396"/>
    <n v="1940"/>
    <n v="1580"/>
    <n v="1360"/>
    <n v="1300"/>
    <n v="2920"/>
    <n v="1660"/>
    <n v="1660"/>
    <n v="1552"/>
    <n v="1560"/>
    <n v="1768"/>
    <n v="1420"/>
    <n v="1856"/>
    <n v="1448"/>
    <n v="4436"/>
    <n v="1680"/>
    <n v="1516"/>
    <n v="2548"/>
    <n v="1728"/>
    <n v="4008"/>
    <n v="2304"/>
    <n v="1520"/>
    <n v="2040"/>
    <n v="1368"/>
    <n v="2544"/>
    <n v="1644"/>
    <n v="2072"/>
    <n v="1636"/>
    <n v="2784"/>
    <n v="1428"/>
    <n v="1856"/>
    <n v="1720"/>
    <n v="1600"/>
    <n v="1920"/>
    <n v="1388"/>
    <n v="1792"/>
    <n v="1336"/>
    <n v="1860"/>
    <n v="1488"/>
    <n v="1480"/>
    <n v="3468"/>
    <n v="2072"/>
    <n v="2188"/>
    <n v="1492"/>
    <n v="5008"/>
    <n v="1364"/>
    <n v="1792"/>
    <n v="1760"/>
    <n v="2000"/>
    <n v="1624"/>
    <n v="1540"/>
    <n v="1732"/>
    <n v="2996"/>
    <n v="2356"/>
    <n v="1664"/>
    <n v="4084"/>
    <n v="2084"/>
    <n v="1612"/>
    <n v="1376"/>
    <n v="2576"/>
    <n v="2008"/>
    <n v="1944"/>
    <n v="1984"/>
    <n v="1412"/>
    <n v="1268"/>
    <n v="1428"/>
    <n v="1620"/>
    <n v="2184"/>
    <n v="2692"/>
    <n v="1560"/>
    <n v="1476"/>
    <n v="1360"/>
    <n v="2636"/>
    <n v="4428"/>
  </r>
  <r>
    <n v="2828"/>
    <n v="2196"/>
    <n v="1608"/>
    <n v="1464"/>
    <n v="2096"/>
    <n v="1348"/>
    <n v="2212"/>
    <n v="1912"/>
    <n v="1908"/>
    <n v="1352"/>
    <n v="2772"/>
    <n v="11948"/>
    <n v="1356"/>
    <n v="1268"/>
    <n v="5292"/>
    <n v="1732"/>
    <n v="1356"/>
    <n v="1420"/>
    <n v="1712"/>
    <n v="3104"/>
    <n v="1492"/>
    <n v="31908"/>
    <n v="1392"/>
    <n v="6668"/>
    <n v="1532"/>
    <n v="1720"/>
    <n v="1676"/>
    <n v="1784"/>
    <n v="4068"/>
    <n v="1472"/>
    <n v="2484"/>
    <n v="1460"/>
    <n v="1712"/>
    <n v="4168"/>
    <n v="2020"/>
    <n v="1952"/>
    <n v="2540"/>
    <n v="1700"/>
    <n v="3476"/>
    <n v="2912"/>
    <n v="11628"/>
    <n v="2176"/>
    <n v="4076"/>
    <n v="1380"/>
    <n v="10676"/>
    <n v="1504"/>
    <n v="1672"/>
    <n v="1376"/>
    <n v="2328"/>
    <n v="1536"/>
    <n v="1500"/>
    <n v="1232"/>
    <n v="1456"/>
    <n v="1460"/>
    <n v="3724"/>
    <n v="6344"/>
    <n v="1552"/>
    <n v="7504"/>
    <n v="1576"/>
    <n v="1480"/>
    <n v="2740"/>
    <n v="1716"/>
    <n v="1420"/>
    <n v="1512"/>
    <n v="1896"/>
    <n v="1504"/>
    <n v="2164"/>
    <n v="1484"/>
    <n v="2720"/>
    <n v="3604"/>
    <n v="2548"/>
    <n v="1744"/>
    <n v="1480"/>
    <n v="1524"/>
    <n v="2128"/>
    <n v="2108"/>
    <n v="1892"/>
    <n v="1500"/>
    <n v="1844"/>
    <n v="2496"/>
  </r>
  <r>
    <n v="1676"/>
    <n v="4472"/>
    <n v="1464"/>
    <n v="1868"/>
    <n v="1680"/>
    <n v="1300"/>
    <n v="1384"/>
    <n v="1872"/>
    <n v="1516"/>
    <n v="1492"/>
    <n v="5632"/>
    <n v="1592"/>
    <n v="1280"/>
    <n v="1696"/>
    <n v="1404"/>
    <n v="1420"/>
    <n v="1584"/>
    <n v="2168"/>
    <n v="1864"/>
    <n v="1644"/>
    <n v="1868"/>
    <n v="2496"/>
    <n v="1724"/>
    <n v="1936"/>
    <n v="2344"/>
    <n v="1936"/>
    <n v="2068"/>
    <n v="2348"/>
    <n v="1224"/>
    <n v="2612"/>
    <n v="1380"/>
    <n v="1476"/>
    <n v="1804"/>
    <n v="1940"/>
    <n v="1724"/>
    <n v="1640"/>
    <n v="2452"/>
    <n v="1592"/>
    <n v="8192"/>
    <n v="1576"/>
    <n v="1480"/>
    <n v="1568"/>
    <n v="1648"/>
    <n v="1500"/>
    <n v="2384"/>
    <n v="1284"/>
    <n v="2808"/>
    <n v="1992"/>
    <n v="1536"/>
    <n v="1616"/>
    <n v="2032"/>
    <n v="2412"/>
    <n v="1616"/>
    <n v="1964"/>
    <n v="1700"/>
    <n v="2020"/>
    <n v="6412"/>
    <n v="1868"/>
    <n v="4740"/>
    <n v="2540"/>
    <n v="1644"/>
    <n v="1444"/>
    <n v="1416"/>
    <n v="21128"/>
    <n v="1440"/>
    <n v="1476"/>
    <n v="2184"/>
    <n v="3428"/>
    <n v="1432"/>
    <n v="1820"/>
    <n v="4024"/>
    <n v="1612"/>
    <n v="3160"/>
    <n v="1860"/>
    <n v="3916"/>
    <n v="1888"/>
    <n v="1516"/>
    <n v="1584"/>
    <n v="2084"/>
    <n v="1392"/>
  </r>
  <r>
    <n v="1616"/>
    <n v="2300"/>
    <n v="1868"/>
    <n v="2136"/>
    <n v="2512"/>
    <n v="1580"/>
    <n v="1544"/>
    <n v="1724"/>
    <n v="2240"/>
    <n v="1392"/>
    <n v="1540"/>
    <n v="1516"/>
    <n v="1380"/>
    <n v="1396"/>
    <n v="1240"/>
    <n v="1536"/>
    <n v="1712"/>
    <n v="1524"/>
    <n v="1312"/>
    <n v="4956"/>
    <n v="1492"/>
    <n v="3624"/>
    <n v="4108"/>
    <n v="1980"/>
    <n v="5352"/>
    <n v="3784"/>
    <n v="2532"/>
    <n v="1380"/>
    <n v="2224"/>
    <n v="1576"/>
    <n v="6496"/>
    <n v="1500"/>
    <n v="4392"/>
    <n v="2192"/>
    <n v="1760"/>
    <n v="1768"/>
    <n v="1780"/>
    <n v="1704"/>
    <n v="5552"/>
    <n v="1636"/>
    <n v="2172"/>
    <n v="1372"/>
    <n v="1664"/>
    <n v="1376"/>
    <n v="1736"/>
    <n v="1336"/>
    <n v="3108"/>
    <n v="2192"/>
    <n v="1956"/>
    <n v="1428"/>
    <n v="1832"/>
    <n v="2096"/>
    <n v="1684"/>
    <n v="1660"/>
    <n v="2260"/>
    <n v="1728"/>
    <n v="1876"/>
    <n v="1392"/>
    <n v="1604"/>
    <n v="1804"/>
    <n v="2464"/>
    <n v="1288"/>
    <n v="1416"/>
    <n v="1628"/>
    <n v="1644"/>
    <n v="2384"/>
    <n v="1416"/>
    <n v="1972"/>
    <n v="2328"/>
    <n v="1744"/>
    <n v="1584"/>
    <n v="1588"/>
    <n v="1300"/>
    <n v="1936"/>
    <n v="15520"/>
    <n v="3100"/>
    <n v="4144"/>
    <n v="2060"/>
    <n v="2672"/>
    <n v="1372"/>
  </r>
  <r>
    <n v="1344"/>
    <n v="1364"/>
    <n v="3376"/>
    <n v="1800"/>
    <n v="1520"/>
    <n v="2700"/>
    <n v="3904"/>
    <n v="1884"/>
    <n v="2056"/>
    <n v="1456"/>
    <n v="1844"/>
    <n v="3856"/>
    <n v="1768"/>
    <n v="1824"/>
    <n v="1392"/>
    <n v="2144"/>
    <n v="6192"/>
    <n v="1388"/>
    <n v="1516"/>
    <n v="1592"/>
    <n v="1632"/>
    <n v="3012"/>
    <n v="1412"/>
    <n v="2072"/>
    <n v="1448"/>
    <n v="1308"/>
    <n v="1824"/>
    <n v="1568"/>
    <n v="1628"/>
    <n v="1436"/>
    <n v="1976"/>
    <n v="1536"/>
    <n v="2404"/>
    <n v="2372"/>
    <n v="9240"/>
    <n v="1328"/>
    <n v="1500"/>
    <n v="1296"/>
    <n v="1724"/>
    <n v="3768"/>
    <n v="1308"/>
    <n v="1496"/>
    <n v="2008"/>
    <n v="1592"/>
    <n v="2020"/>
    <n v="1500"/>
    <n v="1828"/>
    <n v="1428"/>
    <n v="2440"/>
    <n v="2244"/>
    <n v="2632"/>
    <n v="1904"/>
    <n v="2152"/>
    <n v="1460"/>
    <n v="1824"/>
    <n v="1792"/>
    <n v="1516"/>
    <n v="1696"/>
    <n v="1752"/>
    <n v="1956"/>
    <n v="1492"/>
    <n v="1692"/>
    <n v="1580"/>
    <n v="14348"/>
    <n v="1632"/>
    <n v="1488"/>
    <n v="2132"/>
    <n v="1704"/>
    <n v="27888"/>
    <n v="1572"/>
    <n v="1752"/>
    <n v="1436"/>
    <n v="1596"/>
    <n v="2004"/>
    <n v="1584"/>
    <n v="2104"/>
    <n v="2280"/>
    <n v="2168"/>
    <n v="2520"/>
    <n v="2188"/>
  </r>
  <r>
    <n v="1484"/>
    <n v="1344"/>
    <n v="1600"/>
    <n v="1720"/>
    <n v="1824"/>
    <n v="1388"/>
    <n v="1396"/>
    <n v="1476"/>
    <n v="3236"/>
    <n v="1340"/>
    <n v="1564"/>
    <n v="1324"/>
    <n v="2508"/>
    <n v="1376"/>
    <n v="1464"/>
    <n v="1608"/>
    <n v="1876"/>
    <n v="1748"/>
    <n v="1368"/>
    <n v="1684"/>
    <n v="2124"/>
    <n v="1472"/>
    <n v="1808"/>
    <n v="1596"/>
    <n v="1864"/>
    <n v="1896"/>
    <n v="2188"/>
    <n v="1596"/>
    <n v="1616"/>
    <n v="1580"/>
    <n v="4040"/>
    <n v="1324"/>
    <n v="2056"/>
    <n v="2400"/>
    <n v="1404"/>
    <n v="1384"/>
    <n v="10160"/>
    <n v="1552"/>
    <n v="1796"/>
    <n v="1664"/>
    <n v="1312"/>
    <n v="1424"/>
    <n v="1504"/>
    <n v="2192"/>
    <n v="3008"/>
    <n v="1904"/>
    <n v="1764"/>
    <n v="1432"/>
    <n v="1684"/>
    <n v="2472"/>
    <n v="1420"/>
    <n v="1436"/>
    <n v="1752"/>
    <n v="1536"/>
    <n v="1932"/>
    <n v="1384"/>
    <n v="1696"/>
    <n v="1428"/>
    <n v="1512"/>
    <n v="1484"/>
    <n v="1528"/>
    <n v="1440"/>
    <n v="1928"/>
    <n v="6144"/>
    <n v="1772"/>
    <n v="2116"/>
    <n v="1424"/>
    <n v="1428"/>
    <n v="1816"/>
    <n v="1336"/>
    <n v="2172"/>
    <n v="1652"/>
    <n v="2116"/>
    <n v="2724"/>
    <n v="1824"/>
    <n v="1720"/>
    <n v="1616"/>
    <n v="2372"/>
    <n v="2072"/>
    <n v="1920"/>
  </r>
  <r>
    <n v="1280"/>
    <n v="1544"/>
    <n v="1844"/>
    <n v="1524"/>
    <n v="1436"/>
    <n v="3328"/>
    <n v="1508"/>
    <n v="1396"/>
    <n v="4596"/>
    <n v="1548"/>
    <n v="1316"/>
    <n v="2124"/>
    <n v="6296"/>
    <n v="2048"/>
    <n v="2716"/>
    <n v="1364"/>
    <n v="1316"/>
    <n v="4380"/>
    <n v="1456"/>
    <n v="1304"/>
    <n v="3092"/>
    <n v="3920"/>
    <n v="1772"/>
    <n v="2212"/>
    <n v="1936"/>
    <n v="1456"/>
    <n v="1676"/>
    <n v="1472"/>
    <n v="3860"/>
    <n v="1500"/>
    <n v="1260"/>
    <n v="1628"/>
    <n v="16160"/>
    <n v="1184"/>
    <n v="1496"/>
    <n v="1284"/>
    <n v="1660"/>
    <n v="2408"/>
    <n v="2908"/>
    <n v="1976"/>
    <n v="1532"/>
    <n v="1372"/>
    <n v="1844"/>
    <n v="1552"/>
    <n v="1444"/>
    <n v="1760"/>
    <n v="1496"/>
    <n v="1340"/>
    <n v="1856"/>
    <n v="2436"/>
    <n v="2484"/>
    <n v="6436"/>
    <n v="1904"/>
    <n v="2624"/>
    <n v="1972"/>
    <n v="1452"/>
    <n v="1588"/>
    <n v="1952"/>
    <n v="3544"/>
    <n v="1508"/>
    <n v="2412"/>
    <n v="1648"/>
    <n v="1352"/>
    <n v="1580"/>
    <n v="1772"/>
    <n v="4488"/>
    <n v="1888"/>
    <n v="3656"/>
    <n v="2328"/>
    <n v="1480"/>
    <n v="3296"/>
    <n v="1496"/>
    <n v="1500"/>
    <n v="1372"/>
    <n v="1704"/>
    <n v="1360"/>
    <n v="1488"/>
    <n v="1520"/>
    <n v="1488"/>
    <n v="1532"/>
  </r>
  <r>
    <n v="1788"/>
    <n v="1632"/>
    <n v="2116"/>
    <n v="1420"/>
    <n v="1404"/>
    <n v="2732"/>
    <n v="2260"/>
    <n v="1640"/>
    <n v="2228"/>
    <n v="2148"/>
    <n v="1308"/>
    <n v="1512"/>
    <n v="1712"/>
    <n v="1604"/>
    <n v="1952"/>
    <n v="1432"/>
    <n v="1432"/>
    <n v="2040"/>
    <n v="1268"/>
    <n v="1448"/>
    <n v="1564"/>
    <n v="1468"/>
    <n v="1756"/>
    <n v="1324"/>
    <n v="1532"/>
    <n v="1332"/>
    <n v="9008"/>
    <n v="1404"/>
    <n v="3004"/>
    <n v="1512"/>
    <n v="1460"/>
    <n v="1696"/>
    <n v="1832"/>
    <n v="1776"/>
    <n v="1680"/>
    <n v="1472"/>
    <n v="1436"/>
    <n v="2608"/>
    <n v="2388"/>
    <n v="4540"/>
    <n v="1772"/>
    <n v="1320"/>
    <n v="5312"/>
    <n v="1348"/>
    <n v="2000"/>
    <n v="2524"/>
    <n v="2972"/>
    <n v="1868"/>
    <n v="1604"/>
    <n v="2632"/>
    <n v="1548"/>
    <n v="1832"/>
    <n v="1460"/>
    <n v="1492"/>
    <n v="1744"/>
    <n v="2196"/>
    <n v="2148"/>
    <n v="1636"/>
    <n v="2724"/>
    <n v="1848"/>
    <n v="1492"/>
    <n v="1592"/>
    <n v="1676"/>
    <n v="1564"/>
    <n v="1584"/>
    <n v="2288"/>
    <n v="2344"/>
    <n v="1636"/>
    <n v="2792"/>
    <n v="1604"/>
    <n v="1396"/>
    <n v="5300"/>
    <n v="1620"/>
    <n v="3712"/>
    <n v="1936"/>
    <n v="1712"/>
    <n v="1784"/>
    <n v="2104"/>
    <n v="2228"/>
    <n v="2196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15AEF9-C428-41DD-BF54-AB3C20F9AC82}" name="Tabela Dinâmica8" cacheId="1" dataOnRows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:B81" firstHeaderRow="1" firstDataRow="1" firstDataCol="1"/>
  <pivotFields count="80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8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  <i i="47">
      <x v="47"/>
    </i>
    <i i="48">
      <x v="48"/>
    </i>
    <i i="49">
      <x v="49"/>
    </i>
    <i i="50">
      <x v="50"/>
    </i>
    <i i="51">
      <x v="51"/>
    </i>
    <i i="52">
      <x v="52"/>
    </i>
    <i i="53">
      <x v="53"/>
    </i>
    <i i="54">
      <x v="54"/>
    </i>
    <i i="55">
      <x v="55"/>
    </i>
    <i i="56">
      <x v="56"/>
    </i>
    <i i="57">
      <x v="57"/>
    </i>
    <i i="58">
      <x v="58"/>
    </i>
    <i i="59">
      <x v="59"/>
    </i>
    <i i="60">
      <x v="60"/>
    </i>
    <i i="61">
      <x v="61"/>
    </i>
    <i i="62">
      <x v="62"/>
    </i>
    <i i="63">
      <x v="63"/>
    </i>
    <i i="64">
      <x v="64"/>
    </i>
    <i i="65">
      <x v="65"/>
    </i>
    <i i="66">
      <x v="66"/>
    </i>
    <i i="67">
      <x v="67"/>
    </i>
    <i i="68">
      <x v="68"/>
    </i>
    <i i="69">
      <x v="69"/>
    </i>
    <i i="70">
      <x v="70"/>
    </i>
    <i i="71">
      <x v="71"/>
    </i>
    <i i="72">
      <x v="72"/>
    </i>
    <i i="73">
      <x v="73"/>
    </i>
    <i i="74">
      <x v="74"/>
    </i>
    <i i="75">
      <x v="75"/>
    </i>
    <i i="76">
      <x v="76"/>
    </i>
    <i i="77">
      <x v="77"/>
    </i>
    <i i="78">
      <x v="78"/>
    </i>
    <i i="79">
      <x v="79"/>
    </i>
  </rowItems>
  <colItems count="1">
    <i/>
  </colItems>
  <dataFields count="80">
    <dataField name="Média de aff_step_up" fld="9" subtotal="average" baseField="0" baseItem="0"/>
    <dataField name="Média de leftmost_bisect_up" fld="31" subtotal="average" baseField="0" baseItem="0"/>
    <dataField name="Média de ffc_step_down" fld="18" subtotal="average" baseField="0" baseItem="0"/>
    <dataField name="Média de leftmost_median_up" fld="35" subtotal="average" baseField="0" baseItem="0"/>
    <dataField name="Média de ffc_enum_up" fld="13" subtotal="average" baseField="0" baseItem="0"/>
    <dataField name="Média de first_fail_middle_up" fld="27" subtotal="average" baseField="0" baseItem="0"/>
    <dataField name="Média de max_median_up" fld="45" subtotal="average" baseField="0" baseItem="0"/>
    <dataField name="Média de first_fail_step_up" fld="29" subtotal="average" baseField="0" baseItem="0"/>
    <dataField name="Média de min_enum_down" fld="62" subtotal="average" baseField="0" baseItem="0"/>
    <dataField name="Média de max_bisect_up" fld="41" subtotal="average" baseField="0" baseItem="0"/>
    <dataField name="Média de max_enum_up" fld="43" subtotal="average" baseField="0" baseItem="0"/>
    <dataField name="Média de aff_middle_up" fld="7" subtotal="average" baseField="0" baseItem="0"/>
    <dataField name="Média de min_median_down" fld="64" subtotal="average" baseField="0" baseItem="0"/>
    <dataField name="Média de max_regret_median_down" fld="52" subtotal="average" baseField="0" baseItem="0"/>
    <dataField name="Média de aff_enum_up" fld="3" subtotal="average" baseField="0" baseItem="0"/>
    <dataField name="Média de aff_median_down" fld="4" subtotal="average" baseField="0" baseItem="0"/>
    <dataField name="Média de max_middle_up" fld="47" subtotal="average" baseField="0" baseItem="0"/>
    <dataField name="Média de min_step_up" fld="69" subtotal="average" baseField="0" baseItem="0"/>
    <dataField name="Média de leftmost_middle_up" fld="37" subtotal="average" baseField="0" baseItem="0"/>
    <dataField name="Média de max_step_up" fld="59" subtotal="average" baseField="0" baseItem="0"/>
    <dataField name="Média de min_bisect_up" fld="61" subtotal="average" baseField="0" baseItem="0"/>
    <dataField name="Média de min_bisect_down" fld="60" subtotal="average" baseField="0" baseItem="0"/>
    <dataField name="Média de occurrence_enum_down" fld="72" subtotal="average" baseField="0" baseItem="0"/>
    <dataField name="Média de first_fail_enum_down" fld="22" subtotal="average" baseField="0" baseItem="0"/>
    <dataField name="Média de aff_enum_down" fld="2" subtotal="average" baseField="0" baseItem="0"/>
    <dataField name="Média de min_middle_down" fld="66" subtotal="average" baseField="0" baseItem="0"/>
    <dataField name="Média de max_regret_bisect_down" fld="48" subtotal="average" baseField="0" baseItem="0"/>
    <dataField name="Média de ffc_middle_up" fld="17" subtotal="average" baseField="0" baseItem="0"/>
    <dataField name="Média de max_regret_bisect_up" fld="49" subtotal="average" baseField="0" baseItem="0"/>
    <dataField name="Média de occurrence_middle_down" fld="76" subtotal="average" baseField="0" baseItem="0"/>
    <dataField name="Média de aff_median_up" fld="5" subtotal="average" baseField="0" baseItem="0"/>
    <dataField name="Média de aff_bisect_up" fld="1" subtotal="average" baseField="0" baseItem="1210714480"/>
    <dataField name="Média de occurrence_median_up" fld="75" subtotal="average" baseField="0" baseItem="0"/>
    <dataField name="Média de ffc_step_up" fld="19" subtotal="average" baseField="0" baseItem="0"/>
    <dataField name="Média de min_middle_up" fld="67" subtotal="average" baseField="0" baseItem="0"/>
    <dataField name="Média de ffc_median_down" fld="14" subtotal="average" baseField="0" baseItem="0"/>
    <dataField name="Média de occurrence_enum_up" fld="73" subtotal="average" baseField="0" baseItem="0"/>
    <dataField name="Média de first_fail_median_up" fld="25" subtotal="average" baseField="0" baseItem="0"/>
    <dataField name="Média de ffc_middle_down" fld="16" subtotal="average" baseField="0" baseItem="0"/>
    <dataField name="Média de first_fail_bisect_down" fld="20" subtotal="average" baseField="0" baseItem="0"/>
    <dataField name="Média de ffc_bisect_down" fld="10" subtotal="average" baseField="0" baseItem="0"/>
    <dataField name="Média de occurrence_step_up" fld="79" subtotal="average" baseField="0" baseItem="0"/>
    <dataField name="Média de leftmost_enum_up" fld="33" subtotal="average" baseField="0" baseItem="0"/>
    <dataField name="Média de ffc_enum_down" fld="12" subtotal="average" baseField="0" baseItem="0"/>
    <dataField name="Média de occurrence_bisect_down" fld="70" subtotal="average" baseField="0" baseItem="0"/>
    <dataField name="Média de max_regret_step_down" fld="56" subtotal="average" baseField="0" baseItem="0"/>
    <dataField name="Média de max_regret_middle_down" fld="54" subtotal="average" baseField="0" baseItem="0"/>
    <dataField name="Média de max_regret_enum_up" fld="51" subtotal="average" baseField="0" baseItem="0"/>
    <dataField name="Média de ffc_median_up" fld="15" subtotal="average" baseField="0" baseItem="0"/>
    <dataField name="Média de max_middle_down" fld="46" subtotal="average" baseField="0" baseItem="0"/>
    <dataField name="Média de max_regret_step_up" fld="57" subtotal="average" baseField="0" baseItem="0"/>
    <dataField name="Média de max_regret_enum_down" fld="50" subtotal="average" baseField="0" baseItem="0"/>
    <dataField name="Média de aff_middle_down" fld="6" subtotal="average" baseField="0" baseItem="0"/>
    <dataField name="Média de max_regret_middle_up" fld="55" subtotal="average" baseField="0" baseItem="0"/>
    <dataField name="Média de aff_step_down" fld="8" subtotal="average" baseField="0" baseItem="0"/>
    <dataField name="Média de max_enum_down" fld="42" subtotal="average" baseField="0" baseItem="0"/>
    <dataField name="Média de occurrence_step_down" fld="78" subtotal="average" baseField="0" baseItem="0"/>
    <dataField name="Média de first_fail_step_down" fld="28" subtotal="average" baseField="0" baseItem="0"/>
    <dataField name="Média de min_median_up" fld="65" subtotal="average" baseField="0" baseItem="0"/>
    <dataField name="Média de leftmost_step_up" fld="39" subtotal="average" baseField="0" baseItem="0"/>
    <dataField name="Média de first_fail_enum_up" fld="23" subtotal="average" baseField="0" baseItem="0"/>
    <dataField name="Média de occurrence_middle_up" fld="77" subtotal="average" baseField="0" baseItem="0"/>
    <dataField name="Média de first_fail_median_down" fld="24" subtotal="average" baseField="0" baseItem="0"/>
    <dataField name="Média de max_step_down" fld="58" subtotal="average" baseField="0" baseItem="0"/>
    <dataField name="Média de leftmost_bisect_down" fld="30" subtotal="average" baseField="0" baseItem="0"/>
    <dataField name="Média de max_bisect_down" fld="40" subtotal="average" baseField="0" baseItem="0"/>
    <dataField name="Média de occurrence_bisect_up" fld="71" subtotal="average" baseField="0" baseItem="0"/>
    <dataField name="Média de first_fail_middle_down" fld="26" subtotal="average" baseField="0" baseItem="0"/>
    <dataField name="Média de leftmost_middle_down" fld="36" subtotal="average" baseField="0" baseItem="0"/>
    <dataField name="Média de leftmost_median_down" fld="34" subtotal="average" baseField="0" baseItem="0"/>
    <dataField name="Média de max_regret_median_up" fld="53" subtotal="average" baseField="0" baseItem="0"/>
    <dataField name="Média de max_median_down" fld="44" subtotal="average" baseField="0" baseItem="0"/>
    <dataField name="Média de ffc_bisect_up" fld="11" subtotal="average" baseField="0" baseItem="0"/>
    <dataField name="Média de leftmost_step_down" fld="38" subtotal="average" baseField="0" baseItem="0"/>
    <dataField name="Média de occurrence_median_down" fld="74" subtotal="average" baseField="0" baseItem="0"/>
    <dataField name="Média de leftmost_enum_down" fld="32" subtotal="average" baseField="0" baseItem="0"/>
    <dataField name="Média de aff_bisect_down" fld="0" subtotal="average" baseField="0" baseItem="1247204304"/>
    <dataField name="Média de min_step_down" fld="68" subtotal="average" baseField="0" baseItem="0"/>
    <dataField name="Média de min_enum_up" fld="63" subtotal="average" baseField="0" baseItem="0"/>
    <dataField name="Média de first_fail_bisect_up" fld="21" subtotal="average" baseField="0" baseItem="0"/>
  </dataFields>
  <pivotTableStyleInfo name="PivotStyleLight16" showRowHeaders="0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29592B-0315-48F2-B9F4-F1E859037F02}" name="Tabela Dinâmica1" cacheId="0" dataOnRows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1:B81" firstHeaderRow="1" firstDataRow="1" firstDataCol="1"/>
  <pivotFields count="80"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-2"/>
  </rowFields>
  <rowItems count="8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  <i i="47">
      <x v="47"/>
    </i>
    <i i="48">
      <x v="48"/>
    </i>
    <i i="49">
      <x v="49"/>
    </i>
    <i i="50">
      <x v="50"/>
    </i>
    <i i="51">
      <x v="51"/>
    </i>
    <i i="52">
      <x v="52"/>
    </i>
    <i i="53">
      <x v="53"/>
    </i>
    <i i="54">
      <x v="54"/>
    </i>
    <i i="55">
      <x v="55"/>
    </i>
    <i i="56">
      <x v="56"/>
    </i>
    <i i="57">
      <x v="57"/>
    </i>
    <i i="58">
      <x v="58"/>
    </i>
    <i i="59">
      <x v="59"/>
    </i>
    <i i="60">
      <x v="60"/>
    </i>
    <i i="61">
      <x v="61"/>
    </i>
    <i i="62">
      <x v="62"/>
    </i>
    <i i="63">
      <x v="63"/>
    </i>
    <i i="64">
      <x v="64"/>
    </i>
    <i i="65">
      <x v="65"/>
    </i>
    <i i="66">
      <x v="66"/>
    </i>
    <i i="67">
      <x v="67"/>
    </i>
    <i i="68">
      <x v="68"/>
    </i>
    <i i="69">
      <x v="69"/>
    </i>
    <i i="70">
      <x v="70"/>
    </i>
    <i i="71">
      <x v="71"/>
    </i>
    <i i="72">
      <x v="72"/>
    </i>
    <i i="73">
      <x v="73"/>
    </i>
    <i i="74">
      <x v="74"/>
    </i>
    <i i="75">
      <x v="75"/>
    </i>
    <i i="76">
      <x v="76"/>
    </i>
    <i i="77">
      <x v="77"/>
    </i>
    <i i="78">
      <x v="78"/>
    </i>
    <i i="79">
      <x v="79"/>
    </i>
  </rowItems>
  <colItems count="1">
    <i/>
  </colItems>
  <dataFields count="80">
    <dataField name="Média de ffc_enum_up" fld="13" subtotal="average" baseField="0" baseItem="0" numFmtId="3"/>
    <dataField name="Média de ffc_median_up" fld="15" subtotal="average" baseField="0" baseItem="0" numFmtId="3"/>
    <dataField name="Média de ffc_step_up" fld="19" subtotal="average" baseField="0" baseItem="0" numFmtId="3"/>
    <dataField name="Média de ffc_bisect_up" fld="11" subtotal="average" baseField="0" baseItem="0" numFmtId="3"/>
    <dataField name="Média de ffc_step_down" fld="18" subtotal="average" baseField="0" baseItem="0" numFmtId="3"/>
    <dataField name="Média de occurrence_bisect_up" fld="71" subtotal="average" baseField="0" baseItem="0" numFmtId="3"/>
    <dataField name="Média de first_fail_middle_down" fld="26" subtotal="average" baseField="0" baseItem="0" numFmtId="3"/>
    <dataField name="Média de first_fail_middle_up" fld="27" subtotal="average" baseField="0" baseItem="0" numFmtId="3"/>
    <dataField name="Média de min_step_up" fld="69" subtotal="average" baseField="0" baseItem="0" numFmtId="3"/>
    <dataField name="Média de occurrence_median_down" fld="74" subtotal="average" baseField="0" baseItem="0" numFmtId="3"/>
    <dataField name="Média de ffc_middle_up" fld="17" subtotal="average" baseField="0" baseItem="0" numFmtId="3"/>
    <dataField name="Média de first_fail_step_up" fld="29" subtotal="average" baseField="0" baseItem="0" numFmtId="3"/>
    <dataField name="Média de aff_step_up" fld="9" subtotal="average" baseField="0" baseItem="0" numFmtId="3"/>
    <dataField name="Média de ffc_median_down" fld="14" subtotal="average" baseField="0" baseItem="0" numFmtId="3"/>
    <dataField name="Média de occurrence_middle_up" fld="77" subtotal="average" baseField="0" baseItem="0" numFmtId="3"/>
    <dataField name="Média de occurrence_step_down" fld="78" subtotal="average" baseField="0" baseItem="0" numFmtId="3"/>
    <dataField name="Média de min_enum_down" fld="62" subtotal="average" baseField="0" baseItem="0" numFmtId="3"/>
    <dataField name="Média de occurrence_median_up" fld="75" subtotal="average" baseField="0" baseItem="0" numFmtId="3"/>
    <dataField name="Média de first_fail_bisect_up" fld="21" subtotal="average" baseField="0" baseItem="0" numFmtId="3"/>
    <dataField name="Média de min_enum_up" fld="63" subtotal="average" baseField="0" baseItem="0" numFmtId="3"/>
    <dataField name="Média de ffc_bisect_down" fld="10" subtotal="average" baseField="0" baseItem="0" numFmtId="3"/>
    <dataField name="Média de ffc_enum_down" fld="12" subtotal="average" baseField="0" baseItem="0" numFmtId="3"/>
    <dataField name="Média de ffc_middle_down" fld="16" subtotal="average" baseField="0" baseItem="0" numFmtId="3"/>
    <dataField name="Média de min_bisect_down" fld="60" subtotal="average" baseField="0" baseItem="0" numFmtId="3"/>
    <dataField name="Média de first_fail_step_down" fld="28" subtotal="average" baseField="0" baseItem="0" numFmtId="3"/>
    <dataField name="Média de aff_enum_up" fld="3" subtotal="average" baseField="0" baseItem="0" numFmtId="3"/>
    <dataField name="Média de first_fail_median_down" fld="24" subtotal="average" baseField="0" baseItem="0" numFmtId="3"/>
    <dataField name="Média de occurrence_enum_up" fld="73" subtotal="average" baseField="0" baseItem="0" numFmtId="3"/>
    <dataField name="Média de occurrence_bisect_down" fld="70" subtotal="average" baseField="0" baseItem="0" numFmtId="3"/>
    <dataField name="Média de first_fail_enum_down" fld="22" subtotal="average" baseField="0" baseItem="0" numFmtId="3"/>
    <dataField name="Média de max_regret_median_up" fld="53" subtotal="average" baseField="0" baseItem="0" numFmtId="3"/>
    <dataField name="Média de occurrence_step_up" fld="79" subtotal="average" baseField="0" baseItem="0" numFmtId="3"/>
    <dataField name="Média de min_middle_up" fld="67" subtotal="average" baseField="0" baseItem="0" numFmtId="3"/>
    <dataField name="Média de aff_middle_down" fld="6" subtotal="average" baseField="0" baseItem="0" numFmtId="3"/>
    <dataField name="Média de occurrence_middle_down" fld="76" subtotal="average" baseField="0" baseItem="0" numFmtId="3"/>
    <dataField name="Média de first_fail_enum_up" fld="23" subtotal="average" baseField="0" baseItem="0" numFmtId="3"/>
    <dataField name="Média de min_median_down" fld="64" subtotal="average" baseField="0" baseItem="0" numFmtId="3"/>
    <dataField name="Média de min_step_down" fld="68" subtotal="average" baseField="0" baseItem="0" numFmtId="3"/>
    <dataField name="Média de min_median_up" fld="65" subtotal="average" baseField="0" baseItem="0" numFmtId="3"/>
    <dataField name="Média de aff_step_down" fld="8" subtotal="average" baseField="0" baseItem="0" numFmtId="3"/>
    <dataField name="Média de aff_bisect_up" fld="1" subtotal="average" baseField="0" baseItem="1" numFmtId="3"/>
    <dataField name="Média de occurrence_enum_down" fld="72" subtotal="average" baseField="0" baseItem="0" numFmtId="3"/>
    <dataField name="Média de min_bisect_up" fld="61" subtotal="average" baseField="0" baseItem="0" numFmtId="3"/>
    <dataField name="Média de min_middle_down" fld="66" subtotal="average" baseField="0" baseItem="0" numFmtId="3"/>
    <dataField name="Média de max_regret_enum_up" fld="51" subtotal="average" baseField="0" baseItem="0" numFmtId="3"/>
    <dataField name="Média de aff_bisect_down" fld="0" subtotal="average" baseField="0" baseItem="2077732944" numFmtId="164"/>
    <dataField name="Média de max_regret_bisect_down" fld="48" subtotal="average" baseField="0" baseItem="0" numFmtId="3"/>
    <dataField name="Média de max_regret_bisect_up" fld="49" subtotal="average" baseField="0" baseItem="0" numFmtId="3"/>
    <dataField name="Média de max_regret_enum_down" fld="50" subtotal="average" baseField="0" baseItem="0" numFmtId="3"/>
    <dataField name="Média de max_step_up" fld="59" subtotal="average" baseField="0" baseItem="0" numFmtId="3"/>
    <dataField name="Média de max_regret_middle_up" fld="55" subtotal="average" baseField="0" baseItem="0" numFmtId="3"/>
    <dataField name="Média de max_regret_step_up" fld="57" subtotal="average" baseField="0" baseItem="0" numFmtId="3"/>
    <dataField name="Média de max_regret_median_down" fld="52" subtotal="average" baseField="0" baseItem="0" numFmtId="3"/>
    <dataField name="Média de first_fail_bisect_down" fld="20" subtotal="average" baseField="0" baseItem="0" numFmtId="3"/>
    <dataField name="Média de aff_median_up" fld="5" subtotal="average" baseField="0" baseItem="0" numFmtId="3"/>
    <dataField name="Média de leftmost_step_up" fld="39" subtotal="average" baseField="0" baseItem="0" numFmtId="3"/>
    <dataField name="Média de max_enum_up" fld="43" subtotal="average" baseField="0" baseItem="0" numFmtId="3"/>
    <dataField name="Média de first_fail_median_up" fld="25" subtotal="average" baseField="0" baseItem="0" numFmtId="3"/>
    <dataField name="Média de aff_median_down" fld="4" subtotal="average" baseField="0" baseItem="0" numFmtId="3"/>
    <dataField name="Média de max_bisect_up" fld="41" subtotal="average" baseField="0" baseItem="0" numFmtId="3"/>
    <dataField name="Média de max_regret_step_down" fld="56" subtotal="average" baseField="0" baseItem="0" numFmtId="3"/>
    <dataField name="Média de aff_enum_down" fld="2" subtotal="average" baseField="0" baseItem="0" numFmtId="3"/>
    <dataField name="Média de leftmost_enum_up" fld="33" subtotal="average" baseField="0" baseItem="0" numFmtId="3"/>
    <dataField name="Média de max_step_down" fld="58" subtotal="average" baseField="0" baseItem="0" numFmtId="3"/>
    <dataField name="Média de max_enum_down" fld="42" subtotal="average" baseField="0" baseItem="0" numFmtId="3"/>
    <dataField name="Média de leftmost_step_down" fld="38" subtotal="average" baseField="0" baseItem="0" numFmtId="3"/>
    <dataField name="Média de max_regret_middle_down" fld="54" subtotal="average" baseField="0" baseItem="0" numFmtId="3"/>
    <dataField name="Média de leftmost_enum_down" fld="32" subtotal="average" baseField="0" baseItem="0" numFmtId="3"/>
    <dataField name="Média de max_median_up" fld="45" subtotal="average" baseField="0" baseItem="0" numFmtId="3"/>
    <dataField name="Média de leftmost_bisect_up" fld="31" subtotal="average" baseField="0" baseItem="0" numFmtId="3"/>
    <dataField name="Média de max_bisect_down" fld="40" subtotal="average" baseField="0" baseItem="0" numFmtId="3"/>
    <dataField name="Média de aff_middle_up" fld="7" subtotal="average" baseField="0" baseItem="0" numFmtId="3"/>
    <dataField name="Média de max_median_down" fld="44" subtotal="average" baseField="0" baseItem="0" numFmtId="3"/>
    <dataField name="Média de leftmost_median_down" fld="34" subtotal="average" baseField="0" baseItem="0" numFmtId="3"/>
    <dataField name="Média de leftmost_median_up" fld="35" subtotal="average" baseField="0" baseItem="0" numFmtId="3"/>
    <dataField name="Média de max_middle_down" fld="46" subtotal="average" baseField="0" baseItem="0" numFmtId="3"/>
    <dataField name="Média de leftmost_bisect_down" fld="30" subtotal="average" baseField="0" baseItem="0" numFmtId="3"/>
    <dataField name="Média de leftmost_middle_up" fld="37" subtotal="average" baseField="0" baseItem="0" numFmtId="3"/>
    <dataField name="Média de max_middle_up" fld="47" subtotal="average" baseField="0" baseItem="0" numFmtId="3"/>
    <dataField name="Média de leftmost_middle_down" fld="36" subtotal="average" baseField="0" baseItem="0" numFmtId="3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B3B7D27-EA2E-43F0-805B-6485DDF1C549}" autoFormatId="16" applyNumberFormats="0" applyBorderFormats="0" applyFontFormats="0" applyPatternFormats="0" applyAlignmentFormats="0" applyWidthHeightFormats="0">
  <queryTableRefresh nextId="11">
    <queryTableFields count="4">
      <queryTableField id="3" name="8_anti_first_fail_step_up.csv" tableColumnId="3"/>
      <queryTableField id="1" name="16_anti_first_fail_step_up.csv" tableColumnId="1"/>
      <queryTableField id="2" name="24_anti_first_fail_step_up.csv" tableColumnId="2"/>
      <queryTableField id="5" name="32_anti_first_fail_step_up.csv" tableColumnId="4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CB3FB5-8DE1-42AC-95FF-E86E10FFABCB}" name="Tabela2" displayName="Tabela2" ref="A1:G81" totalsRowShown="0">
  <autoFilter ref="A1:G81" xr:uid="{A120A74A-B862-4FCC-A6E5-58B7FC5B57B6}"/>
  <tableColumns count="7">
    <tableColumn id="1" xr3:uid="{F7221945-E39C-4FD0-AE0E-54F2D0F8C745}" name="Estratégia"/>
    <tableColumn id="2" xr3:uid="{B240BDB9-C49D-43BE-B2E5-2ED174636B29}" name="Média 8x8" dataDxfId="23" dataCellStyle="Vírgula"/>
    <tableColumn id="4" xr3:uid="{5691CE4F-9311-4607-AC48-CACE0A80CD69}" name="Média 16x16" dataDxfId="22" dataCellStyle="Vírgula"/>
    <tableColumn id="10" xr3:uid="{DCC7EF48-5576-492A-9E6A-31CE6AB36A8F}" name="Perda 8x8" dataDxfId="21" dataCellStyle="Percentagem">
      <calculatedColumnFormula>Tabela2[[#This Row],[Média 8x8]]/MIN(Tabela2[Média 8x8]) - 1</calculatedColumnFormula>
    </tableColumn>
    <tableColumn id="11" xr3:uid="{1C843F1B-0C08-4355-851F-A75EBE910AD4}" name="Perda 16x16" dataDxfId="20" dataCellStyle="Percentagem">
      <calculatedColumnFormula>Tabela2[[#This Row],[Média 16x16]]/MIN(Tabela2[Média 16x16]) - 1</calculatedColumnFormula>
    </tableColumn>
    <tableColumn id="13" xr3:uid="{2FD67850-7816-4090-B485-37B604CA7505}" name="Perda Soma" dataDxfId="19" dataCellStyle="Percentagem">
      <calculatedColumnFormula>(Tabela2[[#This Row],[Perda 8x8]]+Tabela2[[#This Row],[Perda 16x16]])</calculatedColumnFormula>
    </tableColumn>
    <tableColumn id="7" xr3:uid="{D7BFF26A-1846-4D20-AF19-791E32C7AD3E}" name="Soma" dataDxfId="18">
      <calculatedColumnFormula>SUM(Tabela2[[#This Row],[Média 8x8]]+Tabela2[[#This Row],[Média 16x16]])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D0B8C2-EBF9-4839-97A1-E58F23B40CC6}" name="Tabela3" displayName="Tabela3" ref="I21:O32" totalsRowShown="0" headerRowDxfId="17" dataDxfId="15" headerRowBorderDxfId="16" tableBorderDxfId="14">
  <autoFilter ref="I21:O32" xr:uid="{341AA452-177B-42EC-925A-2540A51D5105}"/>
  <tableColumns count="7">
    <tableColumn id="1" xr3:uid="{97260065-6A72-4684-A12D-F4404C2147C4}" name="Estratégia" dataDxfId="13"/>
    <tableColumn id="2" xr3:uid="{FF682615-D938-4A25-B484-3EDF1929628B}" name="Média 8x8" dataDxfId="12"/>
    <tableColumn id="3" xr3:uid="{C74F0C84-9B28-4E87-B512-AA932A2E0393}" name="8x8 Performance" dataDxfId="11"/>
    <tableColumn id="4" xr3:uid="{7A3A3AFD-C8B4-4F2F-B399-B10B2592EC10}" name="Média 16x16" dataDxfId="10"/>
    <tableColumn id="5" xr3:uid="{DD87FC15-FFC6-4407-A401-F772E6B1866C}" name="16x16 Performance" dataDxfId="9"/>
    <tableColumn id="6" xr3:uid="{A4A9CAC7-DA03-4FEA-B24A-1D8E75038BA7}" name="Performance" dataDxfId="8"/>
    <tableColumn id="7" xr3:uid="{81BB324C-E6ED-4F48-B0C8-8B4491233E28}" name="Soma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4F94FB-9AD2-4C71-9948-BD961C33183C}" name="C_\" displayName="C_\" ref="B1:E21" tableType="queryTable" totalsRowCount="1">
  <autoFilter ref="B1:E20" xr:uid="{EEDDF8C2-DB97-43AC-A930-2363A9D360F1}"/>
  <tableColumns count="4">
    <tableColumn id="3" xr3:uid="{52CCAF2F-7F1B-45CB-8429-261D0B4D1971}" uniqueName="3" name="8_anti_first_fail_step_up.csv" totalsRowFunction="custom" queryTableFieldId="3" totalsRowDxfId="3">
      <totalsRowFormula>TRIMMEAN(C_\[8_anti_first_fail_step_up.csv], 30%)</totalsRowFormula>
    </tableColumn>
    <tableColumn id="1" xr3:uid="{48C938AB-2EB3-4AF2-B6B1-BA1659668E1C}" uniqueName="1" name="16_anti_first_fail_step_up.csv" totalsRowFunction="custom" queryTableFieldId="1" totalsRowDxfId="2">
      <totalsRowFormula>TRIMMEAN(C_\[16_anti_first_fail_step_up.csv], 30%)</totalsRowFormula>
    </tableColumn>
    <tableColumn id="2" xr3:uid="{334B9BF1-9015-4C1C-B7DD-5651F2CF7D06}" uniqueName="2" name="24_anti_first_fail_step_up.csv" totalsRowFunction="custom" queryTableFieldId="2" totalsRowDxfId="1">
      <totalsRowFormula>TRIMMEAN(C_\[24_anti_first_fail_step_up.csv], 30%)</totalsRowFormula>
    </tableColumn>
    <tableColumn id="4" xr3:uid="{F3EF956F-59E8-430D-932F-54E8E249AA21}" uniqueName="4" name="32_anti_first_fail_step_up.csv" totalsRowFunction="custom" queryTableFieldId="5" totalsRowDxfId="0">
      <totalsRowFormula>TRIMMEAN(C_\[32_anti_first_fail_step_up.csv], 30%)</totalsRow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9B181E-2D0B-4145-82A0-F2AD29636F2A}" name="Tabela1" displayName="Tabela1" ref="L1:M81" totalsRowShown="0">
  <autoFilter ref="L1:M81" xr:uid="{2B335F52-81BA-481D-B476-81A59BFC2C24}"/>
  <sortState xmlns:xlrd2="http://schemas.microsoft.com/office/spreadsheetml/2017/richdata2" ref="L2:M81">
    <sortCondition ref="L1:L81"/>
  </sortState>
  <tableColumns count="2">
    <tableColumn id="1" xr3:uid="{88433407-001E-4B64-A685-905DAFDCE2C9}" name="Estratégia" dataDxfId="6"/>
    <tableColumn id="2" xr3:uid="{28B31E51-0D3C-4420-A000-6B0458676330}" name="Média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AA738-51E4-4649-AD5C-AB9373519CBE}">
  <dimension ref="A1:BN81"/>
  <sheetViews>
    <sheetView topLeftCell="A28" zoomScale="55" zoomScaleNormal="55" workbookViewId="0">
      <selection activeCell="I8" sqref="I8"/>
    </sheetView>
  </sheetViews>
  <sheetFormatPr defaultRowHeight="14.4" x14ac:dyDescent="0.3"/>
  <cols>
    <col min="1" max="1" width="26" bestFit="1" customWidth="1"/>
    <col min="2" max="2" width="16.88671875" style="35" bestFit="1" customWidth="1"/>
    <col min="3" max="3" width="18.88671875" style="35" customWidth="1"/>
    <col min="4" max="4" width="25" style="32" bestFit="1" customWidth="1"/>
    <col min="5" max="5" width="27.21875" bestFit="1" customWidth="1"/>
    <col min="6" max="6" width="27.33203125" bestFit="1" customWidth="1"/>
    <col min="7" max="7" width="12" bestFit="1" customWidth="1"/>
    <col min="9" max="9" width="12" bestFit="1" customWidth="1"/>
    <col min="10" max="10" width="13.88671875" style="32" customWidth="1"/>
    <col min="11" max="11" width="19.5546875" style="19" bestFit="1" customWidth="1"/>
    <col min="12" max="12" width="13.88671875" customWidth="1"/>
    <col min="14" max="14" width="22.5546875" bestFit="1" customWidth="1"/>
    <col min="15" max="15" width="14.6640625" bestFit="1" customWidth="1"/>
    <col min="16" max="16" width="22.21875" customWidth="1"/>
    <col min="17" max="17" width="16.5546875" customWidth="1"/>
    <col min="18" max="18" width="24.21875" customWidth="1"/>
    <col min="19" max="19" width="24.44140625" customWidth="1"/>
    <col min="20" max="20" width="14.6640625" bestFit="1" customWidth="1"/>
    <col min="22" max="22" width="13.6640625" customWidth="1"/>
    <col min="23" max="23" width="11.6640625" customWidth="1"/>
    <col min="24" max="24" width="46.5546875" customWidth="1"/>
    <col min="25" max="25" width="30.77734375" customWidth="1"/>
    <col min="26" max="32" width="4" bestFit="1" customWidth="1"/>
    <col min="33" max="33" width="26.88671875" customWidth="1"/>
    <col min="34" max="34" width="22" customWidth="1"/>
    <col min="35" max="35" width="19.44140625" customWidth="1"/>
    <col min="36" max="36" width="22" customWidth="1"/>
    <col min="37" max="37" width="19.44140625" customWidth="1"/>
    <col min="38" max="38" width="23.44140625" customWidth="1"/>
    <col min="39" max="39" width="20.88671875" customWidth="1"/>
    <col min="40" max="40" width="22.88671875" customWidth="1"/>
    <col min="41" max="41" width="20.33203125" customWidth="1"/>
    <col min="42" max="42" width="20.6640625" customWidth="1"/>
    <col min="43" max="43" width="18.109375" customWidth="1"/>
    <col min="44" max="44" width="26.5546875" customWidth="1"/>
    <col min="45" max="45" width="24" customWidth="1"/>
    <col min="46" max="46" width="26.5546875" customWidth="1"/>
    <col min="47" max="47" width="24" customWidth="1"/>
    <col min="48" max="48" width="28" customWidth="1"/>
    <col min="49" max="49" width="25.44140625" customWidth="1"/>
    <col min="50" max="50" width="27.44140625" customWidth="1"/>
    <col min="51" max="51" width="24.88671875" customWidth="1"/>
    <col min="52" max="52" width="25.21875" customWidth="1"/>
    <col min="53" max="53" width="22.6640625" customWidth="1"/>
    <col min="54" max="54" width="26.77734375" customWidth="1"/>
    <col min="55" max="55" width="24.21875" customWidth="1"/>
    <col min="56" max="56" width="26.77734375" customWidth="1"/>
    <col min="57" max="57" width="24.21875" customWidth="1"/>
    <col min="58" max="58" width="28.21875" customWidth="1"/>
    <col min="59" max="59" width="25.6640625" customWidth="1"/>
    <col min="60" max="60" width="27.6640625" customWidth="1"/>
    <col min="61" max="61" width="25.109375" customWidth="1"/>
    <col min="62" max="62" width="25.44140625" customWidth="1"/>
    <col min="63" max="63" width="22.88671875" customWidth="1"/>
    <col min="64" max="64" width="23.33203125" customWidth="1"/>
    <col min="65" max="65" width="20.77734375" customWidth="1"/>
    <col min="66" max="66" width="23.33203125" customWidth="1"/>
    <col min="67" max="67" width="20.77734375" customWidth="1"/>
    <col min="68" max="68" width="24.77734375" customWidth="1"/>
    <col min="69" max="69" width="22.21875" customWidth="1"/>
    <col min="70" max="70" width="24.21875" customWidth="1"/>
    <col min="71" max="71" width="21.6640625" customWidth="1"/>
    <col min="72" max="72" width="29.33203125" customWidth="1"/>
    <col min="73" max="73" width="26.77734375" customWidth="1"/>
    <col min="74" max="74" width="29.33203125" customWidth="1"/>
    <col min="75" max="75" width="26.77734375" customWidth="1"/>
    <col min="76" max="76" width="30.77734375" customWidth="1"/>
    <col min="77" max="77" width="28.21875" customWidth="1"/>
    <col min="78" max="78" width="30.21875" customWidth="1"/>
    <col min="79" max="79" width="27.6640625" customWidth="1"/>
    <col min="80" max="80" width="28" customWidth="1"/>
    <col min="81" max="81" width="25.44140625" customWidth="1"/>
    <col min="82" max="82" width="22" customWidth="1"/>
    <col min="83" max="83" width="19.44140625" customWidth="1"/>
    <col min="84" max="84" width="23" customWidth="1"/>
    <col min="85" max="85" width="20.44140625" customWidth="1"/>
    <col min="86" max="86" width="23" customWidth="1"/>
    <col min="87" max="87" width="20.44140625" customWidth="1"/>
    <col min="88" max="88" width="24.44140625" customWidth="1"/>
    <col min="89" max="89" width="21.88671875" customWidth="1"/>
    <col min="90" max="90" width="23.88671875" customWidth="1"/>
    <col min="91" max="91" width="21.33203125" customWidth="1"/>
    <col min="92" max="92" width="21.6640625" customWidth="1"/>
    <col min="93" max="93" width="19.109375" customWidth="1"/>
    <col min="94" max="94" width="29.109375" customWidth="1"/>
    <col min="95" max="95" width="26.5546875" customWidth="1"/>
    <col min="96" max="96" width="29.109375" customWidth="1"/>
    <col min="97" max="97" width="26.5546875" customWidth="1"/>
    <col min="98" max="98" width="30.5546875" customWidth="1"/>
    <col min="99" max="99" width="28" customWidth="1"/>
    <col min="100" max="100" width="30" customWidth="1"/>
    <col min="101" max="101" width="27.44140625" customWidth="1"/>
    <col min="102" max="102" width="27.77734375" customWidth="1"/>
    <col min="103" max="103" width="25.21875" customWidth="1"/>
  </cols>
  <sheetData>
    <row r="1" spans="1:66" x14ac:dyDescent="0.3">
      <c r="A1" t="s">
        <v>34</v>
      </c>
      <c r="B1" s="35" t="s">
        <v>196</v>
      </c>
      <c r="C1" s="35" t="s">
        <v>197</v>
      </c>
      <c r="D1" s="32" t="s">
        <v>201</v>
      </c>
      <c r="E1" s="32" t="s">
        <v>202</v>
      </c>
      <c r="F1" s="19" t="s">
        <v>203</v>
      </c>
      <c r="G1" t="s">
        <v>18</v>
      </c>
      <c r="J1"/>
      <c r="K1"/>
      <c r="Q1" t="s">
        <v>36</v>
      </c>
      <c r="R1">
        <v>156</v>
      </c>
      <c r="S1">
        <v>156</v>
      </c>
      <c r="T1">
        <v>208</v>
      </c>
      <c r="U1">
        <v>112</v>
      </c>
      <c r="V1">
        <v>112</v>
      </c>
      <c r="W1">
        <v>136</v>
      </c>
      <c r="X1">
        <v>120</v>
      </c>
      <c r="Y1">
        <v>128</v>
      </c>
      <c r="Z1">
        <v>132</v>
      </c>
      <c r="AA1">
        <v>132</v>
      </c>
      <c r="AB1">
        <v>168</v>
      </c>
      <c r="AC1">
        <v>124</v>
      </c>
      <c r="AD1">
        <v>132</v>
      </c>
      <c r="AE1">
        <v>156</v>
      </c>
      <c r="AF1">
        <v>176</v>
      </c>
      <c r="AG1">
        <v>180</v>
      </c>
      <c r="AH1">
        <v>116</v>
      </c>
      <c r="AI1">
        <v>136</v>
      </c>
      <c r="AJ1">
        <v>120</v>
      </c>
      <c r="AK1">
        <v>128</v>
      </c>
      <c r="AL1">
        <v>112</v>
      </c>
      <c r="AM1">
        <v>128</v>
      </c>
      <c r="AN1">
        <v>124</v>
      </c>
      <c r="AO1">
        <v>124</v>
      </c>
      <c r="AP1">
        <v>128</v>
      </c>
      <c r="AQ1">
        <v>144</v>
      </c>
      <c r="AR1">
        <v>152</v>
      </c>
      <c r="AS1">
        <v>172</v>
      </c>
      <c r="AT1">
        <v>120</v>
      </c>
      <c r="AU1">
        <v>136</v>
      </c>
      <c r="AV1">
        <v>120</v>
      </c>
      <c r="AW1">
        <v>132</v>
      </c>
      <c r="AX1">
        <v>124</v>
      </c>
      <c r="AY1">
        <v>116</v>
      </c>
      <c r="AZ1">
        <v>116</v>
      </c>
      <c r="BA1">
        <v>156</v>
      </c>
      <c r="BB1">
        <v>136</v>
      </c>
      <c r="BC1">
        <v>128</v>
      </c>
      <c r="BD1">
        <v>168</v>
      </c>
      <c r="BE1">
        <v>172</v>
      </c>
      <c r="BF1">
        <v>116</v>
      </c>
      <c r="BG1">
        <v>144</v>
      </c>
      <c r="BH1">
        <v>112</v>
      </c>
      <c r="BI1">
        <v>148</v>
      </c>
      <c r="BJ1">
        <v>136</v>
      </c>
      <c r="BK1">
        <v>144</v>
      </c>
      <c r="BL1">
        <v>128</v>
      </c>
      <c r="BM1">
        <v>128</v>
      </c>
      <c r="BN1">
        <v>152</v>
      </c>
    </row>
    <row r="2" spans="1:66" x14ac:dyDescent="0.3">
      <c r="A2" t="s">
        <v>53</v>
      </c>
      <c r="B2" s="35">
        <v>128.45714285714286</v>
      </c>
      <c r="C2" s="35">
        <v>1420</v>
      </c>
      <c r="D2" s="32">
        <f>Tabela2[[#This Row],[Média 8x8]]/MIN(Tabela2[Média 8x8]) - 1</f>
        <v>7.3543457497612152E-2</v>
      </c>
      <c r="E2" s="32">
        <f>Tabela2[[#This Row],[Média 16x16]]/MIN(Tabela2[Média 16x16]) - 1</f>
        <v>0</v>
      </c>
      <c r="F2" s="19">
        <f>(Tabela2[[#This Row],[Perda 8x8]]+Tabela2[[#This Row],[Perda 16x16]])</f>
        <v>7.3543457497612152E-2</v>
      </c>
      <c r="G2" s="3">
        <f>SUM(Tabela2[[#This Row],[Média 8x8]]+Tabela2[[#This Row],[Média 16x16]])</f>
        <v>1548.4571428571428</v>
      </c>
      <c r="J2"/>
      <c r="K2"/>
      <c r="M2" t="s">
        <v>2</v>
      </c>
      <c r="N2" t="s">
        <v>3</v>
      </c>
      <c r="O2">
        <f>AVERAGEIF($A$2:A$81, N2, $B$2:$B$81)</f>
        <v>125.3942857142857</v>
      </c>
      <c r="Q2" t="s">
        <v>37</v>
      </c>
      <c r="R2">
        <v>140</v>
      </c>
      <c r="S2">
        <v>128</v>
      </c>
      <c r="T2">
        <v>140</v>
      </c>
      <c r="U2">
        <v>108</v>
      </c>
      <c r="V2">
        <v>124</v>
      </c>
      <c r="W2">
        <v>128</v>
      </c>
      <c r="X2">
        <v>132</v>
      </c>
      <c r="Y2">
        <v>128</v>
      </c>
      <c r="Z2">
        <v>152</v>
      </c>
      <c r="AA2">
        <v>140</v>
      </c>
      <c r="AB2">
        <v>176</v>
      </c>
      <c r="AC2">
        <v>116</v>
      </c>
      <c r="AD2">
        <v>112</v>
      </c>
      <c r="AE2">
        <v>136</v>
      </c>
      <c r="AF2">
        <v>120</v>
      </c>
      <c r="AG2">
        <v>136</v>
      </c>
      <c r="AH2">
        <v>108</v>
      </c>
      <c r="AI2">
        <v>148</v>
      </c>
      <c r="AJ2">
        <v>132</v>
      </c>
      <c r="AK2">
        <v>120</v>
      </c>
      <c r="AL2">
        <v>132</v>
      </c>
      <c r="AM2">
        <v>148</v>
      </c>
      <c r="AN2">
        <v>152</v>
      </c>
      <c r="AO2">
        <v>236</v>
      </c>
      <c r="AP2">
        <v>172</v>
      </c>
      <c r="AQ2">
        <v>160</v>
      </c>
      <c r="AR2">
        <v>116</v>
      </c>
      <c r="AS2">
        <v>108</v>
      </c>
      <c r="AT2">
        <v>148</v>
      </c>
      <c r="AU2">
        <v>136</v>
      </c>
      <c r="AV2">
        <v>156</v>
      </c>
      <c r="AW2">
        <v>120</v>
      </c>
      <c r="AX2">
        <v>128</v>
      </c>
      <c r="AY2">
        <v>124</v>
      </c>
      <c r="AZ2">
        <v>124</v>
      </c>
      <c r="BA2">
        <v>124</v>
      </c>
      <c r="BB2">
        <v>124</v>
      </c>
      <c r="BC2">
        <v>136</v>
      </c>
      <c r="BD2">
        <v>152</v>
      </c>
      <c r="BE2">
        <v>176</v>
      </c>
      <c r="BF2">
        <v>148</v>
      </c>
      <c r="BG2">
        <v>116</v>
      </c>
      <c r="BH2">
        <v>136</v>
      </c>
      <c r="BI2">
        <v>116</v>
      </c>
      <c r="BJ2">
        <v>140</v>
      </c>
      <c r="BK2">
        <v>140</v>
      </c>
      <c r="BL2">
        <v>124</v>
      </c>
      <c r="BM2">
        <v>132</v>
      </c>
      <c r="BN2">
        <v>132</v>
      </c>
    </row>
    <row r="3" spans="1:66" x14ac:dyDescent="0.3">
      <c r="A3" t="s">
        <v>44</v>
      </c>
      <c r="B3" s="35">
        <v>123.65714285714286</v>
      </c>
      <c r="C3" s="35">
        <v>1503.4285714285713</v>
      </c>
      <c r="D3" s="32">
        <f>Tabela2[[#This Row],[Média 8x8]]/MIN(Tabela2[Média 8x8]) - 1</f>
        <v>3.3428844317096473E-2</v>
      </c>
      <c r="E3" s="32">
        <f>Tabela2[[#This Row],[Média 16x16]]/MIN(Tabela2[Média 16x16]) - 1</f>
        <v>5.8752515090543245E-2</v>
      </c>
      <c r="F3" s="19">
        <f>(Tabela2[[#This Row],[Perda 8x8]]+Tabela2[[#This Row],[Perda 16x16]])</f>
        <v>9.2181359407639718E-2</v>
      </c>
      <c r="G3" s="3">
        <f>SUM(Tabela2[[#This Row],[Média 8x8]]+Tabela2[[#This Row],[Média 16x16]])</f>
        <v>1627.0857142857142</v>
      </c>
      <c r="J3">
        <v>1</v>
      </c>
      <c r="K3"/>
      <c r="M3" t="s">
        <v>24</v>
      </c>
      <c r="N3" t="s">
        <v>7</v>
      </c>
      <c r="O3">
        <f>AVERAGEIF($A$2:A$81, N3, $B$2:$B$81)</f>
        <v>126.90285714285714</v>
      </c>
      <c r="Q3" t="s">
        <v>39</v>
      </c>
      <c r="R3">
        <v>136</v>
      </c>
      <c r="S3">
        <v>116</v>
      </c>
      <c r="T3">
        <v>176</v>
      </c>
      <c r="U3">
        <v>128</v>
      </c>
      <c r="V3">
        <v>140</v>
      </c>
      <c r="W3">
        <v>140</v>
      </c>
      <c r="X3">
        <v>128</v>
      </c>
      <c r="Y3">
        <v>344</v>
      </c>
      <c r="Z3">
        <v>344</v>
      </c>
      <c r="AA3">
        <v>140</v>
      </c>
      <c r="AB3">
        <v>164</v>
      </c>
      <c r="AC3">
        <v>384</v>
      </c>
      <c r="AD3">
        <v>188</v>
      </c>
      <c r="AE3">
        <v>128</v>
      </c>
      <c r="AF3">
        <v>112</v>
      </c>
      <c r="AG3">
        <v>128</v>
      </c>
      <c r="AH3">
        <v>120</v>
      </c>
      <c r="AI3">
        <v>120</v>
      </c>
      <c r="AJ3">
        <v>136</v>
      </c>
      <c r="AK3">
        <v>136</v>
      </c>
      <c r="AL3">
        <v>132</v>
      </c>
      <c r="AM3">
        <v>136</v>
      </c>
      <c r="AN3">
        <v>120</v>
      </c>
      <c r="AO3">
        <v>136</v>
      </c>
      <c r="AP3">
        <v>176</v>
      </c>
      <c r="AQ3">
        <v>132</v>
      </c>
      <c r="AR3">
        <v>124</v>
      </c>
      <c r="AS3">
        <v>140</v>
      </c>
      <c r="AT3">
        <v>148</v>
      </c>
      <c r="AU3">
        <v>180</v>
      </c>
      <c r="AV3">
        <v>116</v>
      </c>
      <c r="AW3">
        <v>140</v>
      </c>
      <c r="AX3">
        <v>140</v>
      </c>
      <c r="AY3">
        <v>116</v>
      </c>
      <c r="AZ3">
        <v>132</v>
      </c>
      <c r="BA3">
        <v>132</v>
      </c>
      <c r="BB3">
        <v>132</v>
      </c>
      <c r="BC3">
        <v>128</v>
      </c>
      <c r="BD3">
        <v>132</v>
      </c>
      <c r="BE3">
        <v>132</v>
      </c>
      <c r="BF3">
        <v>140</v>
      </c>
      <c r="BG3">
        <v>124</v>
      </c>
      <c r="BH3">
        <v>128</v>
      </c>
      <c r="BI3">
        <v>136</v>
      </c>
      <c r="BJ3">
        <v>152</v>
      </c>
      <c r="BK3">
        <v>168</v>
      </c>
      <c r="BL3">
        <v>108</v>
      </c>
      <c r="BM3">
        <v>120</v>
      </c>
      <c r="BN3">
        <v>124</v>
      </c>
    </row>
    <row r="4" spans="1:66" x14ac:dyDescent="0.3">
      <c r="A4" t="s">
        <v>38</v>
      </c>
      <c r="B4" s="35">
        <v>121.02857142857142</v>
      </c>
      <c r="C4" s="35">
        <v>1546.8571428571429</v>
      </c>
      <c r="D4" s="32">
        <f>Tabela2[[#This Row],[Média 8x8]]/MIN(Tabela2[Média 8x8]) - 1</f>
        <v>1.1461318051575908E-2</v>
      </c>
      <c r="E4" s="32">
        <f>Tabela2[[#This Row],[Média 16x16]]/MIN(Tabela2[Média 16x16]) - 1</f>
        <v>8.9336016096579485E-2</v>
      </c>
      <c r="F4" s="19">
        <f>(Tabela2[[#This Row],[Perda 8x8]]+Tabela2[[#This Row],[Perda 16x16]])</f>
        <v>0.10079733414815539</v>
      </c>
      <c r="G4" s="3">
        <f>SUM(Tabela2[[#This Row],[Média 8x8]]+Tabela2[[#This Row],[Média 16x16]])</f>
        <v>1667.8857142857144</v>
      </c>
      <c r="J4">
        <v>1</v>
      </c>
      <c r="K4"/>
      <c r="M4" t="s">
        <v>22</v>
      </c>
      <c r="N4" t="s">
        <v>5</v>
      </c>
      <c r="O4">
        <f>AVERAGEIF($A$2:A$81, N4, $B$2:$B$81)</f>
        <v>129.52000000000001</v>
      </c>
      <c r="Q4" t="s">
        <v>41</v>
      </c>
      <c r="R4">
        <v>124</v>
      </c>
      <c r="S4">
        <v>132</v>
      </c>
      <c r="T4">
        <v>124</v>
      </c>
      <c r="U4">
        <v>128</v>
      </c>
      <c r="V4">
        <v>136</v>
      </c>
      <c r="W4">
        <v>144</v>
      </c>
      <c r="X4">
        <v>152</v>
      </c>
      <c r="Y4">
        <v>180</v>
      </c>
      <c r="Z4">
        <v>124</v>
      </c>
      <c r="AA4">
        <v>116</v>
      </c>
      <c r="AB4">
        <v>120</v>
      </c>
      <c r="AC4">
        <v>128</v>
      </c>
      <c r="AD4">
        <v>116</v>
      </c>
      <c r="AE4">
        <v>140</v>
      </c>
      <c r="AF4">
        <v>128</v>
      </c>
      <c r="AG4">
        <v>132</v>
      </c>
      <c r="AH4">
        <v>140</v>
      </c>
      <c r="AI4">
        <v>116</v>
      </c>
      <c r="AJ4">
        <v>132</v>
      </c>
      <c r="AK4">
        <v>140</v>
      </c>
      <c r="AL4">
        <v>124</v>
      </c>
      <c r="AM4">
        <v>136</v>
      </c>
      <c r="AN4">
        <v>132</v>
      </c>
      <c r="AO4">
        <v>148</v>
      </c>
      <c r="AP4">
        <v>152</v>
      </c>
      <c r="AQ4">
        <v>160</v>
      </c>
      <c r="AR4">
        <v>160</v>
      </c>
      <c r="AS4">
        <v>116</v>
      </c>
      <c r="AT4">
        <v>120</v>
      </c>
      <c r="AU4">
        <v>136</v>
      </c>
      <c r="AV4">
        <v>112</v>
      </c>
      <c r="AW4">
        <v>116</v>
      </c>
      <c r="AX4">
        <v>128</v>
      </c>
      <c r="AY4">
        <v>116</v>
      </c>
      <c r="AZ4">
        <v>140</v>
      </c>
      <c r="BA4">
        <v>124</v>
      </c>
      <c r="BB4">
        <v>128</v>
      </c>
      <c r="BC4">
        <v>112</v>
      </c>
      <c r="BD4">
        <v>128</v>
      </c>
      <c r="BE4">
        <v>128</v>
      </c>
      <c r="BF4">
        <v>132</v>
      </c>
      <c r="BG4">
        <v>144</v>
      </c>
      <c r="BH4">
        <v>160</v>
      </c>
      <c r="BI4">
        <v>164</v>
      </c>
      <c r="BJ4">
        <v>172</v>
      </c>
      <c r="BK4">
        <v>112</v>
      </c>
      <c r="BL4">
        <v>116</v>
      </c>
      <c r="BM4">
        <v>132</v>
      </c>
      <c r="BN4">
        <v>116</v>
      </c>
    </row>
    <row r="5" spans="1:66" x14ac:dyDescent="0.3">
      <c r="A5" t="s">
        <v>56</v>
      </c>
      <c r="B5" s="35">
        <v>125.6</v>
      </c>
      <c r="C5" s="35">
        <v>1553.1428571428571</v>
      </c>
      <c r="D5" s="32">
        <f>Tabela2[[#This Row],[Média 8x8]]/MIN(Tabela2[Média 8x8]) - 1</f>
        <v>4.9665711556829084E-2</v>
      </c>
      <c r="E5" s="32">
        <f>Tabela2[[#This Row],[Média 16x16]]/MIN(Tabela2[Média 16x16]) - 1</f>
        <v>9.3762575452716268E-2</v>
      </c>
      <c r="F5" s="19">
        <f>(Tabela2[[#This Row],[Perda 8x8]]+Tabela2[[#This Row],[Perda 16x16]])</f>
        <v>0.14342828700954535</v>
      </c>
      <c r="G5" s="3">
        <f>SUM(Tabela2[[#This Row],[Média 8x8]]+Tabela2[[#This Row],[Média 16x16]])</f>
        <v>1678.742857142857</v>
      </c>
      <c r="J5">
        <v>5</v>
      </c>
      <c r="K5"/>
      <c r="M5" t="s">
        <v>20</v>
      </c>
      <c r="N5" t="s">
        <v>4</v>
      </c>
      <c r="O5">
        <f>AVERAGEIF($A$2:A$81, N5, $B$2:$B$81)</f>
        <v>130.80000000000001</v>
      </c>
      <c r="Q5" t="s">
        <v>43</v>
      </c>
      <c r="R5">
        <v>124</v>
      </c>
      <c r="S5">
        <v>156</v>
      </c>
      <c r="T5">
        <v>128</v>
      </c>
      <c r="U5">
        <v>136</v>
      </c>
      <c r="V5">
        <v>132</v>
      </c>
      <c r="W5">
        <v>144</v>
      </c>
      <c r="X5">
        <v>164</v>
      </c>
      <c r="Y5">
        <v>180</v>
      </c>
      <c r="Z5">
        <v>100</v>
      </c>
      <c r="AA5">
        <v>132</v>
      </c>
      <c r="AB5">
        <v>124</v>
      </c>
      <c r="AC5">
        <v>124</v>
      </c>
      <c r="AD5">
        <v>144</v>
      </c>
      <c r="AE5">
        <v>128</v>
      </c>
      <c r="AF5">
        <v>164</v>
      </c>
      <c r="AG5">
        <v>176</v>
      </c>
      <c r="AH5">
        <v>128</v>
      </c>
      <c r="AI5">
        <v>116</v>
      </c>
      <c r="AJ5">
        <v>148</v>
      </c>
      <c r="AK5">
        <v>180</v>
      </c>
      <c r="AL5">
        <v>164</v>
      </c>
      <c r="AM5">
        <v>148</v>
      </c>
      <c r="AN5">
        <v>176</v>
      </c>
      <c r="AO5">
        <v>140</v>
      </c>
      <c r="AP5">
        <v>176</v>
      </c>
      <c r="AQ5">
        <v>136</v>
      </c>
      <c r="AR5">
        <v>152</v>
      </c>
      <c r="AS5">
        <v>140</v>
      </c>
      <c r="AT5">
        <v>168</v>
      </c>
      <c r="AU5">
        <v>204</v>
      </c>
      <c r="AV5">
        <v>124</v>
      </c>
      <c r="AW5">
        <v>128</v>
      </c>
      <c r="AX5">
        <v>132</v>
      </c>
      <c r="AY5">
        <v>124</v>
      </c>
      <c r="AZ5">
        <v>128</v>
      </c>
      <c r="BA5">
        <v>200</v>
      </c>
      <c r="BB5">
        <v>188</v>
      </c>
      <c r="BC5">
        <v>136</v>
      </c>
      <c r="BD5">
        <v>124</v>
      </c>
      <c r="BE5">
        <v>172</v>
      </c>
      <c r="BF5">
        <v>128</v>
      </c>
      <c r="BG5">
        <v>152</v>
      </c>
      <c r="BH5">
        <v>200</v>
      </c>
      <c r="BI5">
        <v>136</v>
      </c>
      <c r="BJ5">
        <v>124</v>
      </c>
      <c r="BK5">
        <v>124</v>
      </c>
      <c r="BL5">
        <v>140</v>
      </c>
      <c r="BM5">
        <v>176</v>
      </c>
      <c r="BN5">
        <v>172</v>
      </c>
    </row>
    <row r="6" spans="1:66" x14ac:dyDescent="0.3">
      <c r="A6" t="s">
        <v>63</v>
      </c>
      <c r="B6" s="35">
        <v>127.2</v>
      </c>
      <c r="C6" s="35">
        <v>1540</v>
      </c>
      <c r="D6" s="32">
        <f>Tabela2[[#This Row],[Média 8x8]]/MIN(Tabela2[Média 8x8]) - 1</f>
        <v>6.3037249283667718E-2</v>
      </c>
      <c r="E6" s="32">
        <f>Tabela2[[#This Row],[Média 16x16]]/MIN(Tabela2[Média 16x16]) - 1</f>
        <v>8.4507042253521236E-2</v>
      </c>
      <c r="F6" s="19">
        <f>(Tabela2[[#This Row],[Perda 8x8]]+Tabela2[[#This Row],[Perda 16x16]])</f>
        <v>0.14754429153718895</v>
      </c>
      <c r="G6" s="3">
        <f>SUM(Tabela2[[#This Row],[Média 8x8]]+Tabela2[[#This Row],[Média 16x16]])</f>
        <v>1667.2</v>
      </c>
      <c r="J6">
        <v>5</v>
      </c>
      <c r="K6"/>
      <c r="M6" t="s">
        <v>25</v>
      </c>
      <c r="N6" t="s">
        <v>8</v>
      </c>
      <c r="O6">
        <f>AVERAGEIF($A$2:A$81, N6, $B$2:$B$81)</f>
        <v>134.49142857142857</v>
      </c>
      <c r="Q6" t="s">
        <v>45</v>
      </c>
      <c r="R6">
        <v>168</v>
      </c>
      <c r="S6">
        <v>112</v>
      </c>
      <c r="T6">
        <v>124</v>
      </c>
      <c r="U6">
        <v>124</v>
      </c>
      <c r="V6">
        <v>132</v>
      </c>
      <c r="W6">
        <v>132</v>
      </c>
      <c r="X6">
        <v>136</v>
      </c>
      <c r="Y6">
        <v>144</v>
      </c>
      <c r="Z6">
        <v>148</v>
      </c>
      <c r="AA6">
        <v>156</v>
      </c>
      <c r="AB6">
        <v>176</v>
      </c>
      <c r="AC6">
        <v>184</v>
      </c>
      <c r="AD6">
        <v>116</v>
      </c>
      <c r="AE6">
        <v>136</v>
      </c>
      <c r="AF6">
        <v>152</v>
      </c>
      <c r="AG6">
        <v>136</v>
      </c>
      <c r="AH6">
        <v>124</v>
      </c>
      <c r="AI6">
        <v>128</v>
      </c>
      <c r="AJ6">
        <v>144</v>
      </c>
      <c r="AK6">
        <v>136</v>
      </c>
      <c r="AL6">
        <v>160</v>
      </c>
      <c r="AM6">
        <v>180</v>
      </c>
      <c r="AN6">
        <v>120</v>
      </c>
      <c r="AO6">
        <v>140</v>
      </c>
      <c r="AP6">
        <v>132</v>
      </c>
      <c r="AQ6">
        <v>132</v>
      </c>
      <c r="AR6">
        <v>128</v>
      </c>
      <c r="AS6">
        <v>136</v>
      </c>
      <c r="AT6">
        <v>140</v>
      </c>
      <c r="AU6">
        <v>136</v>
      </c>
      <c r="AV6">
        <v>180</v>
      </c>
      <c r="AW6">
        <v>176</v>
      </c>
      <c r="AX6">
        <v>108</v>
      </c>
      <c r="AY6">
        <v>128</v>
      </c>
      <c r="AZ6">
        <v>116</v>
      </c>
      <c r="BA6">
        <v>132</v>
      </c>
      <c r="BB6">
        <v>160</v>
      </c>
      <c r="BC6">
        <v>132</v>
      </c>
      <c r="BD6">
        <v>144</v>
      </c>
      <c r="BE6">
        <v>148</v>
      </c>
      <c r="BF6">
        <v>164</v>
      </c>
      <c r="BG6">
        <v>108</v>
      </c>
      <c r="BH6">
        <v>180</v>
      </c>
      <c r="BI6">
        <v>136</v>
      </c>
      <c r="BJ6">
        <v>140</v>
      </c>
      <c r="BK6">
        <v>140</v>
      </c>
      <c r="BL6">
        <v>140</v>
      </c>
      <c r="BM6">
        <v>148</v>
      </c>
      <c r="BN6">
        <v>164</v>
      </c>
    </row>
    <row r="7" spans="1:66" x14ac:dyDescent="0.3">
      <c r="A7" t="s">
        <v>40</v>
      </c>
      <c r="B7" s="35">
        <v>121.82857142857142</v>
      </c>
      <c r="C7" s="35">
        <v>1633.1428571428571</v>
      </c>
      <c r="D7" s="32">
        <f>Tabela2[[#This Row],[Média 8x8]]/MIN(Tabela2[Média 8x8]) - 1</f>
        <v>1.8147086914995114E-2</v>
      </c>
      <c r="E7" s="32">
        <f>Tabela2[[#This Row],[Média 16x16]]/MIN(Tabela2[Média 16x16]) - 1</f>
        <v>0.15010060362173028</v>
      </c>
      <c r="F7" s="19">
        <f>(Tabela2[[#This Row],[Perda 8x8]]+Tabela2[[#This Row],[Perda 16x16]])</f>
        <v>0.16824769053672539</v>
      </c>
      <c r="G7" s="3">
        <f>SUM(Tabela2[[#This Row],[Média 8x8]]+Tabela2[[#This Row],[Média 16x16]])</f>
        <v>1754.9714285714285</v>
      </c>
      <c r="I7">
        <f>TRIMMEAN(R10:BN10, 30%)</f>
        <v>128.45714285714286</v>
      </c>
      <c r="J7">
        <v>5</v>
      </c>
      <c r="K7"/>
      <c r="M7" t="s">
        <v>21</v>
      </c>
      <c r="N7" t="s">
        <v>17</v>
      </c>
      <c r="O7">
        <f>AVERAGEIF($A$2:A$81, N7, $B$2:$B$81)</f>
        <v>137.17714285714285</v>
      </c>
      <c r="Q7" t="s">
        <v>47</v>
      </c>
      <c r="R7">
        <v>188</v>
      </c>
      <c r="S7">
        <v>128</v>
      </c>
      <c r="T7">
        <v>132</v>
      </c>
      <c r="U7">
        <v>124</v>
      </c>
      <c r="V7">
        <v>124</v>
      </c>
      <c r="W7">
        <v>136</v>
      </c>
      <c r="X7">
        <v>140</v>
      </c>
      <c r="Y7">
        <v>120</v>
      </c>
      <c r="Z7">
        <v>120</v>
      </c>
      <c r="AA7">
        <v>128</v>
      </c>
      <c r="AB7">
        <v>124</v>
      </c>
      <c r="AC7">
        <v>124</v>
      </c>
      <c r="AD7">
        <v>128</v>
      </c>
      <c r="AE7">
        <v>144</v>
      </c>
      <c r="AF7">
        <v>120</v>
      </c>
      <c r="AG7">
        <v>152</v>
      </c>
      <c r="AH7">
        <v>124</v>
      </c>
      <c r="AI7">
        <v>120</v>
      </c>
      <c r="AJ7">
        <v>144</v>
      </c>
      <c r="AK7">
        <v>120</v>
      </c>
      <c r="AL7">
        <v>124</v>
      </c>
      <c r="AM7">
        <v>132</v>
      </c>
      <c r="AN7">
        <v>128</v>
      </c>
      <c r="AO7">
        <v>140</v>
      </c>
      <c r="AP7">
        <v>128</v>
      </c>
      <c r="AQ7">
        <v>116</v>
      </c>
      <c r="AR7">
        <v>120</v>
      </c>
      <c r="AS7">
        <v>132</v>
      </c>
      <c r="AT7">
        <v>116</v>
      </c>
      <c r="AU7">
        <v>116</v>
      </c>
      <c r="AV7">
        <v>132</v>
      </c>
      <c r="AW7">
        <v>120</v>
      </c>
      <c r="AX7">
        <v>136</v>
      </c>
      <c r="AY7">
        <v>144</v>
      </c>
      <c r="AZ7">
        <v>128</v>
      </c>
      <c r="BA7">
        <v>148</v>
      </c>
      <c r="BB7">
        <v>120</v>
      </c>
      <c r="BC7">
        <v>172</v>
      </c>
      <c r="BD7">
        <v>140</v>
      </c>
      <c r="BE7">
        <v>136</v>
      </c>
      <c r="BF7">
        <v>136</v>
      </c>
      <c r="BG7">
        <v>136</v>
      </c>
      <c r="BH7">
        <v>156</v>
      </c>
      <c r="BI7">
        <v>204</v>
      </c>
      <c r="BJ7">
        <v>208</v>
      </c>
      <c r="BK7">
        <v>116</v>
      </c>
      <c r="BL7">
        <v>124</v>
      </c>
      <c r="BM7">
        <v>124</v>
      </c>
      <c r="BN7">
        <v>128</v>
      </c>
    </row>
    <row r="8" spans="1:66" x14ac:dyDescent="0.3">
      <c r="A8" t="s">
        <v>54</v>
      </c>
      <c r="B8" s="35">
        <v>124.8</v>
      </c>
      <c r="C8" s="35">
        <v>1607.4285714285713</v>
      </c>
      <c r="D8" s="32">
        <f>Tabela2[[#This Row],[Média 8x8]]/MIN(Tabela2[Média 8x8]) - 1</f>
        <v>4.2979942693409656E-2</v>
      </c>
      <c r="E8" s="32">
        <f>Tabela2[[#This Row],[Média 16x16]]/MIN(Tabela2[Média 16x16]) - 1</f>
        <v>0.13199195171026146</v>
      </c>
      <c r="F8" s="19">
        <f>(Tabela2[[#This Row],[Perda 8x8]]+Tabela2[[#This Row],[Perda 16x16]])</f>
        <v>0.17497189440367111</v>
      </c>
      <c r="G8" s="3">
        <f>SUM(Tabela2[[#This Row],[Média 8x8]]+Tabela2[[#This Row],[Média 16x16]])</f>
        <v>1732.2285714285713</v>
      </c>
      <c r="I8">
        <f>TRIMMEAN(J3:J12, 40%)</f>
        <v>5</v>
      </c>
      <c r="J8">
        <v>5</v>
      </c>
      <c r="K8"/>
      <c r="M8" t="s">
        <v>23</v>
      </c>
      <c r="N8" t="s">
        <v>6</v>
      </c>
      <c r="O8">
        <f>AVERAGEIF($A$2:A$81, N8, $B$2:$B$81)</f>
        <v>142.58857142857144</v>
      </c>
      <c r="Q8" t="s">
        <v>49</v>
      </c>
      <c r="R8">
        <v>124</v>
      </c>
      <c r="S8">
        <v>120</v>
      </c>
      <c r="T8">
        <v>128</v>
      </c>
      <c r="U8">
        <v>152</v>
      </c>
      <c r="V8">
        <v>180</v>
      </c>
      <c r="W8">
        <v>132</v>
      </c>
      <c r="X8">
        <v>128</v>
      </c>
      <c r="Y8">
        <v>144</v>
      </c>
      <c r="Z8">
        <v>132</v>
      </c>
      <c r="AA8">
        <v>196</v>
      </c>
      <c r="AB8">
        <v>128</v>
      </c>
      <c r="AC8">
        <v>128</v>
      </c>
      <c r="AD8">
        <v>184</v>
      </c>
      <c r="AE8">
        <v>160</v>
      </c>
      <c r="AF8">
        <v>200</v>
      </c>
      <c r="AG8">
        <v>144</v>
      </c>
      <c r="AH8">
        <v>136</v>
      </c>
      <c r="AI8">
        <v>152</v>
      </c>
      <c r="AJ8">
        <v>156</v>
      </c>
      <c r="AK8">
        <v>192</v>
      </c>
      <c r="AL8">
        <v>164</v>
      </c>
      <c r="AM8">
        <v>152</v>
      </c>
      <c r="AN8">
        <v>156</v>
      </c>
      <c r="AO8">
        <v>180</v>
      </c>
      <c r="AP8">
        <v>204</v>
      </c>
      <c r="AQ8">
        <v>148</v>
      </c>
      <c r="AR8">
        <v>144</v>
      </c>
      <c r="AS8">
        <v>160</v>
      </c>
      <c r="AT8">
        <v>188</v>
      </c>
      <c r="AU8">
        <v>188</v>
      </c>
      <c r="AV8">
        <v>152</v>
      </c>
      <c r="AW8">
        <v>196</v>
      </c>
      <c r="AX8">
        <v>176</v>
      </c>
      <c r="AY8">
        <v>208</v>
      </c>
      <c r="AZ8">
        <v>140</v>
      </c>
      <c r="BA8">
        <v>144</v>
      </c>
      <c r="BB8">
        <v>160</v>
      </c>
      <c r="BC8">
        <v>196</v>
      </c>
      <c r="BD8">
        <v>184</v>
      </c>
      <c r="BE8">
        <v>188</v>
      </c>
      <c r="BF8">
        <v>172</v>
      </c>
      <c r="BG8">
        <v>184</v>
      </c>
      <c r="BH8">
        <v>128</v>
      </c>
      <c r="BI8">
        <v>160</v>
      </c>
      <c r="BJ8">
        <v>180</v>
      </c>
      <c r="BK8">
        <v>188</v>
      </c>
      <c r="BL8">
        <v>148</v>
      </c>
      <c r="BM8">
        <v>144</v>
      </c>
      <c r="BN8">
        <v>292</v>
      </c>
    </row>
    <row r="9" spans="1:66" x14ac:dyDescent="0.3">
      <c r="A9" t="s">
        <v>62</v>
      </c>
      <c r="B9" s="35">
        <v>127.08571428571429</v>
      </c>
      <c r="C9" s="35">
        <v>1628.5714285714287</v>
      </c>
      <c r="D9" s="32">
        <f>Tabela2[[#This Row],[Média 8x8]]/MIN(Tabela2[Média 8x8]) - 1</f>
        <v>6.2082139446036244E-2</v>
      </c>
      <c r="E9" s="32">
        <f>Tabela2[[#This Row],[Média 16x16]]/MIN(Tabela2[Média 16x16]) - 1</f>
        <v>0.14688128772635811</v>
      </c>
      <c r="F9" s="19">
        <f>(Tabela2[[#This Row],[Perda 8x8]]+Tabela2[[#This Row],[Perda 16x16]])</f>
        <v>0.20896342717239436</v>
      </c>
      <c r="G9" s="3">
        <f>SUM(Tabela2[[#This Row],[Média 8x8]]+Tabela2[[#This Row],[Média 16x16]])</f>
        <v>1755.6571428571428</v>
      </c>
      <c r="J9">
        <v>5</v>
      </c>
      <c r="K9"/>
      <c r="M9" t="s">
        <v>26</v>
      </c>
      <c r="N9" t="s">
        <v>9</v>
      </c>
      <c r="O9">
        <f>AVERAGEIF($A$2:A$81, N9, $B$2:$B$81)</f>
        <v>153.47428571428571</v>
      </c>
      <c r="Q9" t="s">
        <v>51</v>
      </c>
      <c r="R9">
        <v>120</v>
      </c>
      <c r="S9">
        <v>132</v>
      </c>
      <c r="T9">
        <v>116</v>
      </c>
      <c r="U9">
        <v>120</v>
      </c>
      <c r="V9">
        <v>128</v>
      </c>
      <c r="W9">
        <v>112</v>
      </c>
      <c r="X9">
        <v>128</v>
      </c>
      <c r="Y9">
        <v>112</v>
      </c>
      <c r="Z9">
        <v>128</v>
      </c>
      <c r="AA9">
        <v>108</v>
      </c>
      <c r="AB9">
        <v>160</v>
      </c>
      <c r="AC9">
        <v>164</v>
      </c>
      <c r="AD9">
        <v>160</v>
      </c>
      <c r="AE9">
        <v>120</v>
      </c>
      <c r="AF9">
        <v>140</v>
      </c>
      <c r="AG9">
        <v>148</v>
      </c>
      <c r="AH9">
        <v>164</v>
      </c>
      <c r="AI9">
        <v>116</v>
      </c>
      <c r="AJ9">
        <v>124</v>
      </c>
      <c r="AK9">
        <v>140</v>
      </c>
      <c r="AL9">
        <v>152</v>
      </c>
      <c r="AM9">
        <v>128</v>
      </c>
      <c r="AN9">
        <v>208</v>
      </c>
      <c r="AO9">
        <v>124</v>
      </c>
      <c r="AP9">
        <v>108</v>
      </c>
      <c r="AQ9">
        <v>112</v>
      </c>
      <c r="AR9">
        <v>148</v>
      </c>
      <c r="AS9">
        <v>116</v>
      </c>
      <c r="AT9">
        <v>156</v>
      </c>
      <c r="AU9">
        <v>136</v>
      </c>
      <c r="AV9">
        <v>152</v>
      </c>
      <c r="AW9">
        <v>208</v>
      </c>
      <c r="AX9">
        <v>128</v>
      </c>
      <c r="AY9">
        <v>140</v>
      </c>
      <c r="AZ9">
        <v>144</v>
      </c>
      <c r="BA9">
        <v>160</v>
      </c>
      <c r="BB9">
        <v>172</v>
      </c>
      <c r="BC9">
        <v>168</v>
      </c>
      <c r="BD9">
        <v>116</v>
      </c>
      <c r="BE9">
        <v>116</v>
      </c>
      <c r="BF9">
        <v>116</v>
      </c>
      <c r="BG9">
        <v>132</v>
      </c>
      <c r="BH9">
        <v>120</v>
      </c>
      <c r="BI9">
        <v>140</v>
      </c>
      <c r="BJ9">
        <v>132</v>
      </c>
      <c r="BK9">
        <v>116</v>
      </c>
      <c r="BL9">
        <v>136</v>
      </c>
      <c r="BM9">
        <v>120</v>
      </c>
      <c r="BN9">
        <v>132</v>
      </c>
    </row>
    <row r="10" spans="1:66" x14ac:dyDescent="0.3">
      <c r="A10" t="s">
        <v>105</v>
      </c>
      <c r="B10" s="35">
        <v>132.57142857142858</v>
      </c>
      <c r="C10" s="35">
        <v>1586.2857142857142</v>
      </c>
      <c r="D10" s="32">
        <f>Tabela2[[#This Row],[Média 8x8]]/MIN(Tabela2[Média 8x8]) - 1</f>
        <v>0.1079274116523401</v>
      </c>
      <c r="E10" s="32">
        <f>Tabela2[[#This Row],[Média 16x16]]/MIN(Tabela2[Média 16x16]) - 1</f>
        <v>0.11710261569416502</v>
      </c>
      <c r="F10" s="19">
        <f>(Tabela2[[#This Row],[Perda 8x8]]+Tabela2[[#This Row],[Perda 16x16]])</f>
        <v>0.22503002734650512</v>
      </c>
      <c r="G10" s="3">
        <f>SUM(Tabela2[[#This Row],[Média 8x8]]+Tabela2[[#This Row],[Média 16x16]])</f>
        <v>1718.8571428571429</v>
      </c>
      <c r="J10" s="36">
        <v>5</v>
      </c>
      <c r="K10"/>
      <c r="Q10" t="s">
        <v>53</v>
      </c>
      <c r="R10">
        <v>116</v>
      </c>
      <c r="S10">
        <v>132</v>
      </c>
      <c r="T10">
        <v>124</v>
      </c>
      <c r="U10">
        <v>116</v>
      </c>
      <c r="V10">
        <v>132</v>
      </c>
      <c r="W10">
        <v>128</v>
      </c>
      <c r="X10">
        <v>132</v>
      </c>
      <c r="Y10">
        <v>140</v>
      </c>
      <c r="Z10">
        <v>148</v>
      </c>
      <c r="AA10">
        <v>120</v>
      </c>
      <c r="AB10">
        <v>124</v>
      </c>
      <c r="AC10">
        <v>108</v>
      </c>
      <c r="AD10">
        <v>120</v>
      </c>
      <c r="AE10">
        <v>108</v>
      </c>
      <c r="AF10">
        <v>128</v>
      </c>
      <c r="AG10">
        <v>128</v>
      </c>
      <c r="AH10">
        <v>120</v>
      </c>
      <c r="AI10">
        <v>124</v>
      </c>
      <c r="AJ10">
        <v>128</v>
      </c>
      <c r="AK10">
        <v>136</v>
      </c>
      <c r="AL10">
        <v>164</v>
      </c>
      <c r="AM10">
        <v>152</v>
      </c>
      <c r="AN10">
        <v>112</v>
      </c>
      <c r="AO10">
        <v>104</v>
      </c>
      <c r="AP10">
        <v>112</v>
      </c>
      <c r="AQ10">
        <v>132</v>
      </c>
      <c r="AR10">
        <v>120</v>
      </c>
      <c r="AS10">
        <v>116</v>
      </c>
      <c r="AT10">
        <v>120</v>
      </c>
      <c r="AU10">
        <v>152</v>
      </c>
      <c r="AV10">
        <v>148</v>
      </c>
      <c r="AW10">
        <v>144</v>
      </c>
      <c r="AX10">
        <v>140</v>
      </c>
      <c r="AY10">
        <v>132</v>
      </c>
      <c r="AZ10">
        <v>124</v>
      </c>
      <c r="BA10">
        <v>112</v>
      </c>
      <c r="BB10">
        <v>128</v>
      </c>
      <c r="BC10">
        <v>136</v>
      </c>
      <c r="BD10">
        <v>120</v>
      </c>
      <c r="BE10">
        <v>112</v>
      </c>
      <c r="BF10">
        <v>124</v>
      </c>
      <c r="BG10">
        <v>120</v>
      </c>
      <c r="BH10">
        <v>128</v>
      </c>
      <c r="BI10">
        <v>152</v>
      </c>
      <c r="BJ10">
        <v>164</v>
      </c>
      <c r="BK10">
        <v>120</v>
      </c>
      <c r="BL10">
        <v>152</v>
      </c>
      <c r="BM10">
        <v>156</v>
      </c>
      <c r="BN10">
        <v>148</v>
      </c>
    </row>
    <row r="11" spans="1:66" x14ac:dyDescent="0.3">
      <c r="A11" t="s">
        <v>35</v>
      </c>
      <c r="B11" s="35">
        <v>119.65714285714286</v>
      </c>
      <c r="C11" s="35">
        <v>1757.7142857142858</v>
      </c>
      <c r="D11" s="32">
        <f>Tabela2[[#This Row],[Média 8x8]]/MIN(Tabela2[Média 8x8]) - 1</f>
        <v>0</v>
      </c>
      <c r="E11" s="32">
        <f>Tabela2[[#This Row],[Média 16x16]]/MIN(Tabela2[Média 16x16]) - 1</f>
        <v>0.23782696177062368</v>
      </c>
      <c r="F11" s="19">
        <f>(Tabela2[[#This Row],[Perda 8x8]]+Tabela2[[#This Row],[Perda 16x16]])</f>
        <v>0.23782696177062368</v>
      </c>
      <c r="G11" s="3">
        <f>SUM(Tabela2[[#This Row],[Média 8x8]]+Tabela2[[#This Row],[Média 16x16]])</f>
        <v>1877.3714285714286</v>
      </c>
      <c r="J11">
        <v>500</v>
      </c>
      <c r="K11"/>
      <c r="M11" t="s">
        <v>27</v>
      </c>
      <c r="N11" t="s">
        <v>10</v>
      </c>
      <c r="O11">
        <f>AVERAGEIF($A$2:A$81, N11, $B$2:$B$81)</f>
        <v>131.85</v>
      </c>
      <c r="Q11" t="s">
        <v>55</v>
      </c>
      <c r="R11">
        <v>124</v>
      </c>
      <c r="S11">
        <v>116</v>
      </c>
      <c r="T11">
        <v>156</v>
      </c>
      <c r="U11">
        <v>152</v>
      </c>
      <c r="V11">
        <v>148</v>
      </c>
      <c r="W11">
        <v>136</v>
      </c>
      <c r="X11">
        <v>132</v>
      </c>
      <c r="Y11">
        <v>132</v>
      </c>
      <c r="Z11">
        <v>136</v>
      </c>
      <c r="AA11">
        <v>128</v>
      </c>
      <c r="AB11">
        <v>132</v>
      </c>
      <c r="AC11">
        <v>132</v>
      </c>
      <c r="AD11">
        <v>128</v>
      </c>
      <c r="AE11">
        <v>192</v>
      </c>
      <c r="AF11">
        <v>120</v>
      </c>
      <c r="AG11">
        <v>140</v>
      </c>
      <c r="AH11">
        <v>148</v>
      </c>
      <c r="AI11">
        <v>124</v>
      </c>
      <c r="AJ11">
        <v>116</v>
      </c>
      <c r="AK11">
        <v>140</v>
      </c>
      <c r="AL11">
        <v>120</v>
      </c>
      <c r="AM11">
        <v>136</v>
      </c>
      <c r="AN11">
        <v>128</v>
      </c>
      <c r="AO11">
        <v>140</v>
      </c>
      <c r="AP11">
        <v>120</v>
      </c>
      <c r="AQ11">
        <v>108</v>
      </c>
      <c r="AR11">
        <v>124</v>
      </c>
      <c r="AS11">
        <v>120</v>
      </c>
      <c r="AT11">
        <v>120</v>
      </c>
      <c r="AU11">
        <v>128</v>
      </c>
      <c r="AV11">
        <v>136</v>
      </c>
      <c r="AW11">
        <v>128</v>
      </c>
      <c r="AX11">
        <v>124</v>
      </c>
      <c r="AY11">
        <v>124</v>
      </c>
      <c r="AZ11">
        <v>132</v>
      </c>
      <c r="BA11">
        <v>120</v>
      </c>
      <c r="BB11">
        <v>124</v>
      </c>
      <c r="BC11">
        <v>124</v>
      </c>
      <c r="BD11">
        <v>120</v>
      </c>
      <c r="BE11">
        <v>124</v>
      </c>
      <c r="BF11">
        <v>132</v>
      </c>
      <c r="BG11">
        <v>132</v>
      </c>
      <c r="BH11">
        <v>152</v>
      </c>
      <c r="BI11">
        <v>124</v>
      </c>
      <c r="BJ11">
        <v>124</v>
      </c>
      <c r="BK11">
        <v>212</v>
      </c>
      <c r="BL11">
        <v>132</v>
      </c>
      <c r="BM11">
        <v>112</v>
      </c>
      <c r="BN11">
        <v>120</v>
      </c>
    </row>
    <row r="12" spans="1:66" x14ac:dyDescent="0.3">
      <c r="A12" t="s">
        <v>64</v>
      </c>
      <c r="B12" s="35">
        <v>130.17142857142858</v>
      </c>
      <c r="C12" s="35">
        <v>1640.5714285714287</v>
      </c>
      <c r="D12" s="32">
        <f>Tabela2[[#This Row],[Média 8x8]]/MIN(Tabela2[Média 8x8]) - 1</f>
        <v>8.787010506208226E-2</v>
      </c>
      <c r="E12" s="32">
        <f>Tabela2[[#This Row],[Média 16x16]]/MIN(Tabela2[Média 16x16]) - 1</f>
        <v>0.15533199195171044</v>
      </c>
      <c r="F12" s="19">
        <f>(Tabela2[[#This Row],[Perda 8x8]]+Tabela2[[#This Row],[Perda 16x16]])</f>
        <v>0.2432020970137927</v>
      </c>
      <c r="G12" s="3">
        <f>SUM(Tabela2[[#This Row],[Média 8x8]]+Tabela2[[#This Row],[Média 16x16]])</f>
        <v>1770.7428571428572</v>
      </c>
      <c r="J12">
        <v>500</v>
      </c>
      <c r="K12"/>
      <c r="M12" t="s">
        <v>28</v>
      </c>
      <c r="N12" t="s">
        <v>11</v>
      </c>
      <c r="O12">
        <f>AVERAGEIF($A$2:A$81, N12, $B$2:$B$81)</f>
        <v>132.70714285714286</v>
      </c>
      <c r="Q12" t="s">
        <v>48</v>
      </c>
      <c r="R12">
        <v>108</v>
      </c>
      <c r="S12">
        <v>144</v>
      </c>
      <c r="T12">
        <v>108</v>
      </c>
      <c r="U12">
        <v>120</v>
      </c>
      <c r="V12">
        <v>116</v>
      </c>
      <c r="W12">
        <v>116</v>
      </c>
      <c r="X12">
        <v>124</v>
      </c>
      <c r="Y12">
        <v>128</v>
      </c>
      <c r="Z12">
        <v>136</v>
      </c>
      <c r="AA12">
        <v>124</v>
      </c>
      <c r="AB12">
        <v>108</v>
      </c>
      <c r="AC12">
        <v>112</v>
      </c>
      <c r="AD12">
        <v>128</v>
      </c>
      <c r="AE12">
        <v>128</v>
      </c>
      <c r="AF12">
        <v>120</v>
      </c>
      <c r="AG12">
        <v>120</v>
      </c>
      <c r="AH12">
        <v>120</v>
      </c>
      <c r="AI12">
        <v>128</v>
      </c>
      <c r="AJ12">
        <v>112</v>
      </c>
      <c r="AK12">
        <v>140</v>
      </c>
      <c r="AL12">
        <v>140</v>
      </c>
      <c r="AM12">
        <v>128</v>
      </c>
      <c r="AN12">
        <v>132</v>
      </c>
      <c r="AO12">
        <v>124</v>
      </c>
      <c r="AP12">
        <v>132</v>
      </c>
      <c r="AQ12">
        <v>120</v>
      </c>
      <c r="AR12">
        <v>120</v>
      </c>
      <c r="AS12">
        <v>108</v>
      </c>
      <c r="AT12">
        <v>120</v>
      </c>
      <c r="AU12">
        <v>124</v>
      </c>
      <c r="AV12">
        <v>108</v>
      </c>
      <c r="AW12">
        <v>120</v>
      </c>
      <c r="AX12">
        <v>116</v>
      </c>
      <c r="AY12">
        <v>120</v>
      </c>
      <c r="AZ12">
        <v>128</v>
      </c>
      <c r="BA12">
        <v>132</v>
      </c>
      <c r="BB12">
        <v>124</v>
      </c>
      <c r="BC12">
        <v>132</v>
      </c>
      <c r="BD12">
        <v>132</v>
      </c>
      <c r="BE12">
        <v>120</v>
      </c>
      <c r="BF12">
        <v>132</v>
      </c>
      <c r="BG12">
        <v>128</v>
      </c>
      <c r="BH12">
        <v>120</v>
      </c>
      <c r="BI12">
        <v>136</v>
      </c>
      <c r="BJ12">
        <v>136</v>
      </c>
      <c r="BK12">
        <v>136</v>
      </c>
      <c r="BL12">
        <v>120</v>
      </c>
      <c r="BM12">
        <v>140</v>
      </c>
      <c r="BN12">
        <v>112</v>
      </c>
    </row>
    <row r="13" spans="1:66" x14ac:dyDescent="0.3">
      <c r="A13" t="s">
        <v>65</v>
      </c>
      <c r="B13" s="35">
        <v>128.57142857142858</v>
      </c>
      <c r="C13" s="35">
        <v>1679.4285714285713</v>
      </c>
      <c r="D13" s="32">
        <f>Tabela2[[#This Row],[Média 8x8]]/MIN(Tabela2[Média 8x8]) - 1</f>
        <v>7.4498567335243626E-2</v>
      </c>
      <c r="E13" s="32">
        <f>Tabela2[[#This Row],[Média 16x16]]/MIN(Tabela2[Média 16x16]) - 1</f>
        <v>0.18269617706237429</v>
      </c>
      <c r="F13" s="19">
        <f>(Tabela2[[#This Row],[Perda 8x8]]+Tabela2[[#This Row],[Perda 16x16]])</f>
        <v>0.25719474439761791</v>
      </c>
      <c r="G13" s="3">
        <f>SUM(Tabela2[[#This Row],[Média 8x8]]+Tabela2[[#This Row],[Média 16x16]])</f>
        <v>1808</v>
      </c>
      <c r="J13"/>
      <c r="K13"/>
      <c r="M13" t="s">
        <v>29</v>
      </c>
      <c r="N13" t="s">
        <v>12</v>
      </c>
      <c r="O13">
        <f>AVERAGEIF($A$2:A$81, N13, $B$2:$B$81)</f>
        <v>135.47142857142856</v>
      </c>
      <c r="Q13" t="s">
        <v>58</v>
      </c>
      <c r="R13">
        <v>136</v>
      </c>
      <c r="S13">
        <v>124</v>
      </c>
      <c r="T13">
        <v>168</v>
      </c>
      <c r="U13">
        <v>132</v>
      </c>
      <c r="V13">
        <v>136</v>
      </c>
      <c r="W13">
        <v>128</v>
      </c>
      <c r="X13">
        <v>128</v>
      </c>
      <c r="Y13">
        <v>120</v>
      </c>
      <c r="Z13">
        <v>124</v>
      </c>
      <c r="AA13">
        <v>132</v>
      </c>
      <c r="AB13">
        <v>136</v>
      </c>
      <c r="AC13">
        <v>128</v>
      </c>
      <c r="AD13">
        <v>128</v>
      </c>
      <c r="AE13">
        <v>168</v>
      </c>
      <c r="AF13">
        <v>136</v>
      </c>
      <c r="AG13">
        <v>152</v>
      </c>
      <c r="AH13">
        <v>136</v>
      </c>
      <c r="AI13">
        <v>160</v>
      </c>
      <c r="AJ13">
        <v>144</v>
      </c>
      <c r="AK13">
        <v>212</v>
      </c>
      <c r="AL13">
        <v>124</v>
      </c>
      <c r="AM13">
        <v>120</v>
      </c>
      <c r="AN13">
        <v>136</v>
      </c>
      <c r="AO13">
        <v>120</v>
      </c>
      <c r="AP13">
        <v>136</v>
      </c>
      <c r="AQ13">
        <v>112</v>
      </c>
      <c r="AR13">
        <v>132</v>
      </c>
      <c r="AS13">
        <v>132</v>
      </c>
      <c r="AT13">
        <v>108</v>
      </c>
      <c r="AU13">
        <v>112</v>
      </c>
      <c r="AV13">
        <v>128</v>
      </c>
      <c r="AW13">
        <v>128</v>
      </c>
      <c r="AX13">
        <v>120</v>
      </c>
      <c r="AY13">
        <v>116</v>
      </c>
      <c r="AZ13">
        <v>128</v>
      </c>
      <c r="BA13">
        <v>108</v>
      </c>
      <c r="BB13">
        <v>108</v>
      </c>
      <c r="BC13">
        <v>120</v>
      </c>
      <c r="BD13">
        <v>124</v>
      </c>
      <c r="BE13">
        <v>124</v>
      </c>
      <c r="BF13">
        <v>192</v>
      </c>
      <c r="BG13">
        <v>200</v>
      </c>
      <c r="BH13">
        <v>120</v>
      </c>
      <c r="BI13">
        <v>120</v>
      </c>
      <c r="BJ13">
        <v>116</v>
      </c>
      <c r="BK13">
        <v>120</v>
      </c>
      <c r="BL13">
        <v>128</v>
      </c>
      <c r="BM13">
        <v>116</v>
      </c>
      <c r="BN13">
        <v>112</v>
      </c>
    </row>
    <row r="14" spans="1:66" x14ac:dyDescent="0.3">
      <c r="A14" t="s">
        <v>58</v>
      </c>
      <c r="B14" s="35">
        <v>127.42857142857143</v>
      </c>
      <c r="C14" s="35">
        <v>1708.5714285714287</v>
      </c>
      <c r="D14" s="32">
        <f>Tabela2[[#This Row],[Média 8x8]]/MIN(Tabela2[Média 8x8]) - 1</f>
        <v>6.4947468958930221E-2</v>
      </c>
      <c r="E14" s="32">
        <f>Tabela2[[#This Row],[Média 16x16]]/MIN(Tabela2[Média 16x16]) - 1</f>
        <v>0.20321931589537234</v>
      </c>
      <c r="F14" s="19">
        <f>(Tabela2[[#This Row],[Perda 8x8]]+Tabela2[[#This Row],[Perda 16x16]])</f>
        <v>0.26816678485430256</v>
      </c>
      <c r="G14" s="3">
        <f>SUM(Tabela2[[#This Row],[Média 8x8]]+Tabela2[[#This Row],[Média 16x16]])</f>
        <v>1836</v>
      </c>
      <c r="J14"/>
      <c r="K14"/>
      <c r="M14" t="s">
        <v>30</v>
      </c>
      <c r="N14" t="s">
        <v>13</v>
      </c>
      <c r="O14">
        <f>AVERAGEIF($A$2:A$81, N14, $B$2:$B$81)</f>
        <v>137.77857142857144</v>
      </c>
      <c r="Q14" t="s">
        <v>38</v>
      </c>
      <c r="R14">
        <v>120</v>
      </c>
      <c r="S14">
        <v>124</v>
      </c>
      <c r="T14">
        <v>152</v>
      </c>
      <c r="U14">
        <v>112</v>
      </c>
      <c r="V14">
        <v>108</v>
      </c>
      <c r="W14">
        <v>112</v>
      </c>
      <c r="X14">
        <v>108</v>
      </c>
      <c r="Y14">
        <v>100</v>
      </c>
      <c r="Z14">
        <v>116</v>
      </c>
      <c r="AA14">
        <v>132</v>
      </c>
      <c r="AB14">
        <v>112</v>
      </c>
      <c r="AC14">
        <v>120</v>
      </c>
      <c r="AD14">
        <v>120</v>
      </c>
      <c r="AE14">
        <v>124</v>
      </c>
      <c r="AF14">
        <v>116</v>
      </c>
      <c r="AG14">
        <v>120</v>
      </c>
      <c r="AH14">
        <v>116</v>
      </c>
      <c r="AI14">
        <v>124</v>
      </c>
      <c r="AJ14">
        <v>116</v>
      </c>
      <c r="AK14">
        <v>108</v>
      </c>
      <c r="AL14">
        <v>100</v>
      </c>
      <c r="AM14">
        <v>104</v>
      </c>
      <c r="AN14">
        <v>112</v>
      </c>
      <c r="AO14">
        <v>116</v>
      </c>
      <c r="AP14">
        <v>136</v>
      </c>
      <c r="AQ14">
        <v>124</v>
      </c>
      <c r="AR14">
        <v>128</v>
      </c>
      <c r="AS14">
        <v>136</v>
      </c>
      <c r="AT14">
        <v>112</v>
      </c>
      <c r="AU14">
        <v>136</v>
      </c>
      <c r="AV14">
        <v>112</v>
      </c>
      <c r="AW14">
        <v>120</v>
      </c>
      <c r="AX14">
        <v>132</v>
      </c>
      <c r="AY14">
        <v>132</v>
      </c>
      <c r="AZ14">
        <v>112</v>
      </c>
      <c r="BA14">
        <v>128</v>
      </c>
      <c r="BB14">
        <v>128</v>
      </c>
      <c r="BC14">
        <v>120</v>
      </c>
      <c r="BD14">
        <v>124</v>
      </c>
      <c r="BE14">
        <v>124</v>
      </c>
      <c r="BF14">
        <v>128</v>
      </c>
      <c r="BG14">
        <v>124</v>
      </c>
      <c r="BH14">
        <v>128</v>
      </c>
      <c r="BI14">
        <v>124</v>
      </c>
      <c r="BJ14">
        <v>124</v>
      </c>
      <c r="BK14">
        <v>124</v>
      </c>
      <c r="BL14">
        <v>128</v>
      </c>
      <c r="BM14">
        <v>124</v>
      </c>
      <c r="BN14">
        <v>140</v>
      </c>
    </row>
    <row r="15" spans="1:66" x14ac:dyDescent="0.3">
      <c r="A15" t="s">
        <v>41</v>
      </c>
      <c r="B15" s="35">
        <v>130.51428571428571</v>
      </c>
      <c r="C15" s="35">
        <v>1686.8571428571429</v>
      </c>
      <c r="D15" s="32">
        <f>Tabela2[[#This Row],[Média 8x8]]/MIN(Tabela2[Média 8x8]) - 1</f>
        <v>9.0735434574976015E-2</v>
      </c>
      <c r="E15" s="32">
        <f>Tabela2[[#This Row],[Média 16x16]]/MIN(Tabela2[Média 16x16]) - 1</f>
        <v>0.18792756539235422</v>
      </c>
      <c r="F15" s="19">
        <f>(Tabela2[[#This Row],[Perda 8x8]]+Tabela2[[#This Row],[Perda 16x16]])</f>
        <v>0.27866299996733024</v>
      </c>
      <c r="G15" s="3">
        <f>SUM(Tabela2[[#This Row],[Média 8x8]]+Tabela2[[#This Row],[Média 16x16]])</f>
        <v>1817.3714285714286</v>
      </c>
      <c r="J15"/>
      <c r="K15"/>
      <c r="M15" t="s">
        <v>31</v>
      </c>
      <c r="N15" t="s">
        <v>14</v>
      </c>
      <c r="O15">
        <f>AVERAGEIF($A$2:A$81, N15, $B$2:$B$81)</f>
        <v>142.47142857142856</v>
      </c>
      <c r="Q15" t="s">
        <v>61</v>
      </c>
      <c r="R15">
        <v>128</v>
      </c>
      <c r="S15">
        <v>112</v>
      </c>
      <c r="T15">
        <v>116</v>
      </c>
      <c r="U15">
        <v>120</v>
      </c>
      <c r="V15">
        <v>132</v>
      </c>
      <c r="W15">
        <v>132</v>
      </c>
      <c r="X15">
        <v>120</v>
      </c>
      <c r="Y15">
        <v>108</v>
      </c>
      <c r="Z15">
        <v>120</v>
      </c>
      <c r="AA15">
        <v>120</v>
      </c>
      <c r="AB15">
        <v>116</v>
      </c>
      <c r="AC15">
        <v>112</v>
      </c>
      <c r="AD15">
        <v>124</v>
      </c>
      <c r="AE15">
        <v>128</v>
      </c>
      <c r="AF15">
        <v>148</v>
      </c>
      <c r="AG15">
        <v>128</v>
      </c>
      <c r="AH15">
        <v>140</v>
      </c>
      <c r="AI15">
        <v>152</v>
      </c>
      <c r="AJ15">
        <v>144</v>
      </c>
      <c r="AK15">
        <v>128</v>
      </c>
      <c r="AL15">
        <v>120</v>
      </c>
      <c r="AM15">
        <v>128</v>
      </c>
      <c r="AN15">
        <v>144</v>
      </c>
      <c r="AO15">
        <v>148</v>
      </c>
      <c r="AP15">
        <v>120</v>
      </c>
      <c r="AQ15">
        <v>144</v>
      </c>
      <c r="AR15">
        <v>136</v>
      </c>
      <c r="AS15">
        <v>128</v>
      </c>
      <c r="AT15">
        <v>128</v>
      </c>
      <c r="AU15">
        <v>132</v>
      </c>
      <c r="AV15">
        <v>136</v>
      </c>
      <c r="AW15">
        <v>144</v>
      </c>
      <c r="AX15">
        <v>128</v>
      </c>
      <c r="AY15">
        <v>188</v>
      </c>
      <c r="AZ15">
        <v>136</v>
      </c>
      <c r="BA15">
        <v>140</v>
      </c>
      <c r="BB15">
        <v>144</v>
      </c>
      <c r="BC15">
        <v>128</v>
      </c>
      <c r="BD15">
        <v>140</v>
      </c>
      <c r="BE15">
        <v>132</v>
      </c>
      <c r="BF15">
        <v>112</v>
      </c>
      <c r="BG15">
        <v>124</v>
      </c>
      <c r="BH15">
        <v>120</v>
      </c>
      <c r="BI15">
        <v>116</v>
      </c>
      <c r="BJ15">
        <v>128</v>
      </c>
      <c r="BK15">
        <v>124</v>
      </c>
      <c r="BL15">
        <v>136</v>
      </c>
      <c r="BM15">
        <v>108</v>
      </c>
      <c r="BN15">
        <v>124</v>
      </c>
    </row>
    <row r="16" spans="1:66" x14ac:dyDescent="0.3">
      <c r="A16" t="s">
        <v>92</v>
      </c>
      <c r="B16" s="35">
        <v>131.42857142857142</v>
      </c>
      <c r="C16" s="35">
        <v>1677.1428571428571</v>
      </c>
      <c r="D16" s="32">
        <f>Tabela2[[#This Row],[Média 8x8]]/MIN(Tabela2[Média 8x8]) - 1</f>
        <v>9.8376313276026695E-2</v>
      </c>
      <c r="E16" s="32">
        <f>Tabela2[[#This Row],[Média 16x16]]/MIN(Tabela2[Média 16x16]) - 1</f>
        <v>0.1810865191146882</v>
      </c>
      <c r="F16" s="19">
        <f>(Tabela2[[#This Row],[Perda 8x8]]+Tabela2[[#This Row],[Perda 16x16]])</f>
        <v>0.2794628323907149</v>
      </c>
      <c r="G16" s="3">
        <f>SUM(Tabela2[[#This Row],[Média 8x8]]+Tabela2[[#This Row],[Média 16x16]])</f>
        <v>1808.5714285714284</v>
      </c>
      <c r="J16"/>
      <c r="K16"/>
      <c r="Q16" t="s">
        <v>40</v>
      </c>
      <c r="R16">
        <v>124</v>
      </c>
      <c r="S16">
        <v>128</v>
      </c>
      <c r="T16">
        <v>132</v>
      </c>
      <c r="U16">
        <v>144</v>
      </c>
      <c r="V16">
        <v>128</v>
      </c>
      <c r="W16">
        <v>108</v>
      </c>
      <c r="X16">
        <v>120</v>
      </c>
      <c r="Y16">
        <v>112</v>
      </c>
      <c r="Z16">
        <v>124</v>
      </c>
      <c r="AA16">
        <v>128</v>
      </c>
      <c r="AB16">
        <v>120</v>
      </c>
      <c r="AC16">
        <v>120</v>
      </c>
      <c r="AD16">
        <v>112</v>
      </c>
      <c r="AE16">
        <v>136</v>
      </c>
      <c r="AF16">
        <v>128</v>
      </c>
      <c r="AG16">
        <v>148</v>
      </c>
      <c r="AH16">
        <v>124</v>
      </c>
      <c r="AI16">
        <v>116</v>
      </c>
      <c r="AJ16">
        <v>112</v>
      </c>
      <c r="AK16">
        <v>112</v>
      </c>
      <c r="AL16">
        <v>116</v>
      </c>
      <c r="AM16">
        <v>116</v>
      </c>
      <c r="AN16">
        <v>124</v>
      </c>
      <c r="AO16">
        <v>120</v>
      </c>
      <c r="AP16">
        <v>128</v>
      </c>
      <c r="AQ16">
        <v>132</v>
      </c>
      <c r="AR16">
        <v>152</v>
      </c>
      <c r="AS16">
        <v>120</v>
      </c>
      <c r="AT16">
        <v>112</v>
      </c>
      <c r="AU16">
        <v>104</v>
      </c>
      <c r="AV16">
        <v>112</v>
      </c>
      <c r="AW16">
        <v>116</v>
      </c>
      <c r="AX16">
        <v>124</v>
      </c>
      <c r="AY16">
        <v>112</v>
      </c>
      <c r="AZ16">
        <v>112</v>
      </c>
      <c r="BA16">
        <v>116</v>
      </c>
      <c r="BB16">
        <v>140</v>
      </c>
      <c r="BC16">
        <v>128</v>
      </c>
      <c r="BD16">
        <v>124</v>
      </c>
      <c r="BE16">
        <v>116</v>
      </c>
      <c r="BF16">
        <v>120</v>
      </c>
      <c r="BG16">
        <v>120</v>
      </c>
      <c r="BH16">
        <v>116</v>
      </c>
      <c r="BI16">
        <v>132</v>
      </c>
      <c r="BJ16">
        <v>132</v>
      </c>
      <c r="BK16">
        <v>124</v>
      </c>
      <c r="BL16">
        <v>136</v>
      </c>
      <c r="BM16">
        <v>112</v>
      </c>
      <c r="BN16">
        <v>160</v>
      </c>
    </row>
    <row r="17" spans="1:66" x14ac:dyDescent="0.3">
      <c r="A17" t="s">
        <v>71</v>
      </c>
      <c r="B17" s="35">
        <v>132.34285714285716</v>
      </c>
      <c r="C17" s="35">
        <v>1666.8571428571429</v>
      </c>
      <c r="D17" s="32">
        <f>Tabela2[[#This Row],[Média 8x8]]/MIN(Tabela2[Média 8x8]) - 1</f>
        <v>0.10601719197707737</v>
      </c>
      <c r="E17" s="32">
        <f>Tabela2[[#This Row],[Média 16x16]]/MIN(Tabela2[Média 16x16]) - 1</f>
        <v>0.17384305835010072</v>
      </c>
      <c r="F17" s="19">
        <f>(Tabela2[[#This Row],[Perda 8x8]]+Tabela2[[#This Row],[Perda 16x16]])</f>
        <v>0.2798602503271781</v>
      </c>
      <c r="G17" s="3">
        <f>SUM(Tabela2[[#This Row],[Média 8x8]]+Tabela2[[#This Row],[Média 16x16]])</f>
        <v>1799.2</v>
      </c>
      <c r="J17"/>
      <c r="K17"/>
      <c r="M17" t="s">
        <v>32</v>
      </c>
      <c r="N17" t="s">
        <v>16</v>
      </c>
      <c r="O17">
        <f>AVERAGEIF($A$2:A$81, N17, $B$2:$B$81)</f>
        <v>134.54285714285714</v>
      </c>
      <c r="Q17" t="s">
        <v>64</v>
      </c>
      <c r="R17">
        <v>132</v>
      </c>
      <c r="S17">
        <v>124</v>
      </c>
      <c r="T17">
        <v>144</v>
      </c>
      <c r="U17">
        <v>148</v>
      </c>
      <c r="V17">
        <v>124</v>
      </c>
      <c r="W17">
        <v>124</v>
      </c>
      <c r="X17">
        <v>144</v>
      </c>
      <c r="Y17">
        <v>192</v>
      </c>
      <c r="Z17">
        <v>112</v>
      </c>
      <c r="AA17">
        <v>144</v>
      </c>
      <c r="AB17">
        <v>132</v>
      </c>
      <c r="AC17">
        <v>152</v>
      </c>
      <c r="AD17">
        <v>132</v>
      </c>
      <c r="AE17">
        <v>136</v>
      </c>
      <c r="AF17">
        <v>124</v>
      </c>
      <c r="AG17">
        <v>124</v>
      </c>
      <c r="AH17">
        <v>128</v>
      </c>
      <c r="AI17">
        <v>136</v>
      </c>
      <c r="AJ17">
        <v>128</v>
      </c>
      <c r="AK17">
        <v>140</v>
      </c>
      <c r="AL17">
        <v>128</v>
      </c>
      <c r="AM17">
        <v>124</v>
      </c>
      <c r="AN17">
        <v>140</v>
      </c>
      <c r="AO17">
        <v>144</v>
      </c>
      <c r="AP17">
        <v>160</v>
      </c>
      <c r="AQ17">
        <v>116</v>
      </c>
      <c r="AR17">
        <v>124</v>
      </c>
      <c r="AS17">
        <v>120</v>
      </c>
      <c r="AT17">
        <v>144</v>
      </c>
      <c r="AU17">
        <v>132</v>
      </c>
      <c r="AV17">
        <v>132</v>
      </c>
      <c r="AW17">
        <v>144</v>
      </c>
      <c r="AX17">
        <v>128</v>
      </c>
      <c r="AY17">
        <v>116</v>
      </c>
      <c r="AZ17">
        <v>132</v>
      </c>
      <c r="BA17">
        <v>124</v>
      </c>
      <c r="BB17">
        <v>132</v>
      </c>
      <c r="BC17">
        <v>124</v>
      </c>
      <c r="BD17">
        <v>120</v>
      </c>
      <c r="BE17">
        <v>120</v>
      </c>
      <c r="BF17">
        <v>120</v>
      </c>
      <c r="BG17">
        <v>120</v>
      </c>
      <c r="BH17">
        <v>116</v>
      </c>
      <c r="BI17">
        <v>124</v>
      </c>
      <c r="BJ17">
        <v>172</v>
      </c>
      <c r="BK17">
        <v>124</v>
      </c>
      <c r="BL17">
        <v>136</v>
      </c>
      <c r="BM17">
        <v>120</v>
      </c>
      <c r="BN17">
        <v>132</v>
      </c>
    </row>
    <row r="18" spans="1:66" x14ac:dyDescent="0.3">
      <c r="A18" t="s">
        <v>81</v>
      </c>
      <c r="B18" s="35">
        <v>147.08571428571429</v>
      </c>
      <c r="C18" s="35">
        <v>1509.7142857142858</v>
      </c>
      <c r="D18" s="32">
        <f>Tabela2[[#This Row],[Média 8x8]]/MIN(Tabela2[Média 8x8]) - 1</f>
        <v>0.22922636103151861</v>
      </c>
      <c r="E18" s="32">
        <f>Tabela2[[#This Row],[Média 16x16]]/MIN(Tabela2[Média 16x16]) - 1</f>
        <v>6.3179074446680028E-2</v>
      </c>
      <c r="F18" s="19">
        <f>(Tabela2[[#This Row],[Perda 8x8]]+Tabela2[[#This Row],[Perda 16x16]])</f>
        <v>0.29240543547819864</v>
      </c>
      <c r="G18" s="3">
        <f>SUM(Tabela2[[#This Row],[Média 8x8]]+Tabela2[[#This Row],[Média 16x16]])</f>
        <v>1656.8000000000002</v>
      </c>
      <c r="J18"/>
      <c r="K18"/>
      <c r="M18" t="s">
        <v>33</v>
      </c>
      <c r="N18" t="s">
        <v>15</v>
      </c>
      <c r="O18">
        <f>AVERAGEIF($A$2:A$81, N18, $B$2:$B$81)</f>
        <v>137.56857142857143</v>
      </c>
      <c r="Q18" t="s">
        <v>65</v>
      </c>
      <c r="R18">
        <v>124</v>
      </c>
      <c r="S18">
        <v>116</v>
      </c>
      <c r="T18">
        <v>116</v>
      </c>
      <c r="U18">
        <v>144</v>
      </c>
      <c r="V18">
        <v>124</v>
      </c>
      <c r="W18">
        <v>132</v>
      </c>
      <c r="X18">
        <v>136</v>
      </c>
      <c r="Y18">
        <v>112</v>
      </c>
      <c r="Z18">
        <v>128</v>
      </c>
      <c r="AA18">
        <v>132</v>
      </c>
      <c r="AB18">
        <v>140</v>
      </c>
      <c r="AC18">
        <v>128</v>
      </c>
      <c r="AD18">
        <v>124</v>
      </c>
      <c r="AE18">
        <v>136</v>
      </c>
      <c r="AF18">
        <v>124</v>
      </c>
      <c r="AG18">
        <v>136</v>
      </c>
      <c r="AH18">
        <v>140</v>
      </c>
      <c r="AI18">
        <v>128</v>
      </c>
      <c r="AJ18">
        <v>132</v>
      </c>
      <c r="AK18">
        <v>140</v>
      </c>
      <c r="AL18">
        <v>124</v>
      </c>
      <c r="AM18">
        <v>132</v>
      </c>
      <c r="AN18">
        <v>152</v>
      </c>
      <c r="AO18">
        <v>116</v>
      </c>
      <c r="AP18">
        <v>132</v>
      </c>
      <c r="AQ18">
        <v>116</v>
      </c>
      <c r="AR18">
        <v>116</v>
      </c>
      <c r="AS18">
        <v>124</v>
      </c>
      <c r="AT18">
        <v>132</v>
      </c>
      <c r="AU18">
        <v>112</v>
      </c>
      <c r="AV18">
        <v>124</v>
      </c>
      <c r="AW18">
        <v>120</v>
      </c>
      <c r="AX18">
        <v>136</v>
      </c>
      <c r="AY18">
        <v>144</v>
      </c>
      <c r="AZ18">
        <v>112</v>
      </c>
      <c r="BA18">
        <v>124</v>
      </c>
      <c r="BB18">
        <v>128</v>
      </c>
      <c r="BC18">
        <v>124</v>
      </c>
      <c r="BD18">
        <v>152</v>
      </c>
      <c r="BE18">
        <v>144</v>
      </c>
      <c r="BF18">
        <v>124</v>
      </c>
      <c r="BG18">
        <v>132</v>
      </c>
      <c r="BH18">
        <v>136</v>
      </c>
      <c r="BI18">
        <v>140</v>
      </c>
      <c r="BJ18">
        <v>112</v>
      </c>
      <c r="BK18">
        <v>120</v>
      </c>
      <c r="BL18">
        <v>124</v>
      </c>
      <c r="BM18">
        <v>136</v>
      </c>
      <c r="BN18">
        <v>132</v>
      </c>
    </row>
    <row r="19" spans="1:66" x14ac:dyDescent="0.3">
      <c r="A19" t="s">
        <v>110</v>
      </c>
      <c r="B19" s="35">
        <v>133.6</v>
      </c>
      <c r="C19" s="35">
        <v>1670.8571428571429</v>
      </c>
      <c r="D19" s="32">
        <f>Tabela2[[#This Row],[Média 8x8]]/MIN(Tabela2[Média 8x8]) - 1</f>
        <v>0.11652340019102181</v>
      </c>
      <c r="E19" s="32">
        <f>Tabela2[[#This Row],[Média 16x16]]/MIN(Tabela2[Média 16x16]) - 1</f>
        <v>0.17665995975855142</v>
      </c>
      <c r="F19" s="19">
        <f>(Tabela2[[#This Row],[Perda 8x8]]+Tabela2[[#This Row],[Perda 16x16]])</f>
        <v>0.29318335994957323</v>
      </c>
      <c r="G19" s="3">
        <f>SUM(Tabela2[[#This Row],[Média 8x8]]+Tabela2[[#This Row],[Média 16x16]])</f>
        <v>1804.4571428571428</v>
      </c>
      <c r="J19"/>
      <c r="K19"/>
      <c r="Q19" t="s">
        <v>44</v>
      </c>
      <c r="R19">
        <v>120</v>
      </c>
      <c r="S19">
        <v>124</v>
      </c>
      <c r="T19">
        <v>148</v>
      </c>
      <c r="U19">
        <v>160</v>
      </c>
      <c r="V19">
        <v>128</v>
      </c>
      <c r="W19">
        <v>120</v>
      </c>
      <c r="X19">
        <v>132</v>
      </c>
      <c r="Y19">
        <v>120</v>
      </c>
      <c r="Z19">
        <v>116</v>
      </c>
      <c r="AA19">
        <v>124</v>
      </c>
      <c r="AB19">
        <v>124</v>
      </c>
      <c r="AC19">
        <v>124</v>
      </c>
      <c r="AD19">
        <v>128</v>
      </c>
      <c r="AE19">
        <v>132</v>
      </c>
      <c r="AF19">
        <v>124</v>
      </c>
      <c r="AG19">
        <v>132</v>
      </c>
      <c r="AH19">
        <v>128</v>
      </c>
      <c r="AI19">
        <v>136</v>
      </c>
      <c r="AJ19">
        <v>160</v>
      </c>
      <c r="AK19">
        <v>124</v>
      </c>
      <c r="AL19">
        <v>112</v>
      </c>
      <c r="AM19">
        <v>116</v>
      </c>
      <c r="AN19">
        <v>112</v>
      </c>
      <c r="AO19">
        <v>120</v>
      </c>
      <c r="AP19">
        <v>132</v>
      </c>
      <c r="AQ19">
        <v>120</v>
      </c>
      <c r="AR19">
        <v>124</v>
      </c>
      <c r="AS19">
        <v>120</v>
      </c>
      <c r="AT19">
        <v>112</v>
      </c>
      <c r="AU19">
        <v>132</v>
      </c>
      <c r="AV19">
        <v>136</v>
      </c>
      <c r="AW19">
        <v>144</v>
      </c>
      <c r="AX19">
        <v>132</v>
      </c>
      <c r="AY19">
        <v>120</v>
      </c>
      <c r="AZ19">
        <v>112</v>
      </c>
      <c r="BA19">
        <v>116</v>
      </c>
      <c r="BB19">
        <v>116</v>
      </c>
      <c r="BC19">
        <v>120</v>
      </c>
      <c r="BD19">
        <v>132</v>
      </c>
      <c r="BE19">
        <v>116</v>
      </c>
      <c r="BF19">
        <v>124</v>
      </c>
      <c r="BG19">
        <v>120</v>
      </c>
      <c r="BH19">
        <v>120</v>
      </c>
      <c r="BI19">
        <v>112</v>
      </c>
      <c r="BJ19">
        <v>120</v>
      </c>
      <c r="BK19">
        <v>124</v>
      </c>
      <c r="BL19">
        <v>116</v>
      </c>
      <c r="BM19">
        <v>120</v>
      </c>
      <c r="BN19">
        <v>132</v>
      </c>
    </row>
    <row r="20" spans="1:66" x14ac:dyDescent="0.3">
      <c r="A20" t="s">
        <v>101</v>
      </c>
      <c r="B20" s="35">
        <v>136.57142857142858</v>
      </c>
      <c r="C20" s="35">
        <v>1636</v>
      </c>
      <c r="D20" s="32">
        <f>Tabela2[[#This Row],[Média 8x8]]/MIN(Tabela2[Média 8x8]) - 1</f>
        <v>0.14135625596943657</v>
      </c>
      <c r="E20" s="32">
        <f>Tabela2[[#This Row],[Média 16x16]]/MIN(Tabela2[Média 16x16]) - 1</f>
        <v>0.15211267605633805</v>
      </c>
      <c r="F20" s="19">
        <f>(Tabela2[[#This Row],[Perda 8x8]]+Tabela2[[#This Row],[Perda 16x16]])</f>
        <v>0.29346893202577462</v>
      </c>
      <c r="G20" s="3">
        <f>SUM(Tabela2[[#This Row],[Média 8x8]]+Tabela2[[#This Row],[Média 16x16]])</f>
        <v>1772.5714285714287</v>
      </c>
      <c r="J20"/>
      <c r="K20"/>
      <c r="Q20" t="s">
        <v>35</v>
      </c>
      <c r="R20">
        <v>112</v>
      </c>
      <c r="S20">
        <v>124</v>
      </c>
      <c r="T20">
        <v>108</v>
      </c>
      <c r="U20">
        <v>140</v>
      </c>
      <c r="V20">
        <v>124</v>
      </c>
      <c r="W20">
        <v>132</v>
      </c>
      <c r="X20">
        <v>152</v>
      </c>
      <c r="Y20">
        <v>112</v>
      </c>
      <c r="Z20">
        <v>140</v>
      </c>
      <c r="AA20">
        <v>136</v>
      </c>
      <c r="AB20">
        <v>120</v>
      </c>
      <c r="AC20">
        <v>184</v>
      </c>
      <c r="AD20">
        <v>124</v>
      </c>
      <c r="AE20">
        <v>112</v>
      </c>
      <c r="AF20">
        <v>120</v>
      </c>
      <c r="AG20">
        <v>120</v>
      </c>
      <c r="AH20">
        <v>132</v>
      </c>
      <c r="AI20">
        <v>124</v>
      </c>
      <c r="AJ20">
        <v>108</v>
      </c>
      <c r="AK20">
        <v>120</v>
      </c>
      <c r="AL20">
        <v>116</v>
      </c>
      <c r="AM20">
        <v>120</v>
      </c>
      <c r="AN20">
        <v>120</v>
      </c>
      <c r="AO20">
        <v>124</v>
      </c>
      <c r="AP20">
        <v>116</v>
      </c>
      <c r="AQ20">
        <v>112</v>
      </c>
      <c r="AR20">
        <v>116</v>
      </c>
      <c r="AS20">
        <v>124</v>
      </c>
      <c r="AT20">
        <v>120</v>
      </c>
      <c r="AU20">
        <v>116</v>
      </c>
      <c r="AV20">
        <v>108</v>
      </c>
      <c r="AW20">
        <v>104</v>
      </c>
      <c r="AX20">
        <v>116</v>
      </c>
      <c r="AY20">
        <v>116</v>
      </c>
      <c r="AZ20">
        <v>116</v>
      </c>
      <c r="BA20">
        <v>116</v>
      </c>
      <c r="BB20">
        <v>108</v>
      </c>
      <c r="BC20">
        <v>112</v>
      </c>
      <c r="BD20">
        <v>116</v>
      </c>
      <c r="BE20">
        <v>108</v>
      </c>
      <c r="BF20">
        <v>124</v>
      </c>
      <c r="BG20">
        <v>116</v>
      </c>
      <c r="BH20">
        <v>116</v>
      </c>
      <c r="BI20">
        <v>112</v>
      </c>
      <c r="BJ20">
        <v>124</v>
      </c>
      <c r="BK20">
        <v>120</v>
      </c>
      <c r="BL20">
        <v>168</v>
      </c>
      <c r="BM20">
        <v>184</v>
      </c>
      <c r="BN20">
        <v>140</v>
      </c>
    </row>
    <row r="21" spans="1:66" x14ac:dyDescent="0.3">
      <c r="A21" t="s">
        <v>61</v>
      </c>
      <c r="B21" s="35">
        <v>128.91428571428571</v>
      </c>
      <c r="C21" s="35">
        <v>1743.4285714285713</v>
      </c>
      <c r="D21" s="32">
        <f>Tabela2[[#This Row],[Média 8x8]]/MIN(Tabela2[Média 8x8]) - 1</f>
        <v>7.7363896848137603E-2</v>
      </c>
      <c r="E21" s="32">
        <f>Tabela2[[#This Row],[Média 16x16]]/MIN(Tabela2[Média 16x16]) - 1</f>
        <v>0.2277665995975855</v>
      </c>
      <c r="F21" s="19">
        <f>(Tabela2[[#This Row],[Perda 8x8]]+Tabela2[[#This Row],[Perda 16x16]])</f>
        <v>0.3051304964457231</v>
      </c>
      <c r="G21" s="3">
        <f>SUM(Tabela2[[#This Row],[Média 8x8]]+Tabela2[[#This Row],[Média 16x16]])</f>
        <v>1872.3428571428572</v>
      </c>
      <c r="I21" s="21" t="s">
        <v>34</v>
      </c>
      <c r="J21" s="22" t="s">
        <v>196</v>
      </c>
      <c r="K21" s="22" t="s">
        <v>198</v>
      </c>
      <c r="L21" s="22" t="s">
        <v>197</v>
      </c>
      <c r="M21" s="22" t="s">
        <v>199</v>
      </c>
      <c r="N21" s="23" t="s">
        <v>200</v>
      </c>
      <c r="O21" s="22" t="s">
        <v>18</v>
      </c>
      <c r="Q21" t="s">
        <v>69</v>
      </c>
      <c r="R21">
        <v>136</v>
      </c>
      <c r="S21">
        <v>128</v>
      </c>
      <c r="T21">
        <v>132</v>
      </c>
      <c r="U21">
        <v>132</v>
      </c>
      <c r="V21">
        <v>136</v>
      </c>
      <c r="W21">
        <v>156</v>
      </c>
      <c r="X21">
        <v>120</v>
      </c>
      <c r="Y21">
        <v>124</v>
      </c>
      <c r="Z21">
        <v>116</v>
      </c>
      <c r="AA21">
        <v>116</v>
      </c>
      <c r="AB21">
        <v>124</v>
      </c>
      <c r="AC21">
        <v>136</v>
      </c>
      <c r="AD21">
        <v>164</v>
      </c>
      <c r="AE21">
        <v>168</v>
      </c>
      <c r="AF21">
        <v>136</v>
      </c>
      <c r="AG21">
        <v>128</v>
      </c>
      <c r="AH21">
        <v>136</v>
      </c>
      <c r="AI21">
        <v>132</v>
      </c>
      <c r="AJ21">
        <v>144</v>
      </c>
      <c r="AK21">
        <v>128</v>
      </c>
      <c r="AL21">
        <v>152</v>
      </c>
      <c r="AM21">
        <v>120</v>
      </c>
      <c r="AN21">
        <v>140</v>
      </c>
      <c r="AO21">
        <v>136</v>
      </c>
      <c r="AP21">
        <v>136</v>
      </c>
      <c r="AQ21">
        <v>148</v>
      </c>
      <c r="AR21">
        <v>164</v>
      </c>
      <c r="AS21">
        <v>168</v>
      </c>
      <c r="AT21">
        <v>136</v>
      </c>
      <c r="AU21">
        <v>140</v>
      </c>
      <c r="AV21">
        <v>132</v>
      </c>
      <c r="AW21">
        <v>132</v>
      </c>
      <c r="AX21">
        <v>132</v>
      </c>
      <c r="AY21">
        <v>160</v>
      </c>
      <c r="AZ21">
        <v>216</v>
      </c>
      <c r="BA21">
        <v>132</v>
      </c>
      <c r="BB21">
        <v>144</v>
      </c>
      <c r="BC21">
        <v>136</v>
      </c>
      <c r="BD21">
        <v>148</v>
      </c>
      <c r="BE21">
        <v>152</v>
      </c>
      <c r="BF21">
        <v>148</v>
      </c>
      <c r="BG21">
        <v>144</v>
      </c>
      <c r="BH21">
        <v>132</v>
      </c>
      <c r="BI21">
        <v>124</v>
      </c>
      <c r="BJ21">
        <v>200</v>
      </c>
      <c r="BK21">
        <v>144</v>
      </c>
      <c r="BL21">
        <v>168</v>
      </c>
      <c r="BM21">
        <v>156</v>
      </c>
      <c r="BN21">
        <v>120</v>
      </c>
    </row>
    <row r="22" spans="1:66" x14ac:dyDescent="0.3">
      <c r="A22" t="s">
        <v>111</v>
      </c>
      <c r="B22" s="35">
        <v>134.51428571428571</v>
      </c>
      <c r="C22" s="35">
        <v>1693.7142857142858</v>
      </c>
      <c r="D22" s="32">
        <f>Tabela2[[#This Row],[Média 8x8]]/MIN(Tabela2[Média 8x8]) - 1</f>
        <v>0.12416427889207249</v>
      </c>
      <c r="E22" s="32">
        <f>Tabela2[[#This Row],[Média 16x16]]/MIN(Tabela2[Média 16x16]) - 1</f>
        <v>0.19275653923541247</v>
      </c>
      <c r="F22" s="19">
        <f>(Tabela2[[#This Row],[Perda 8x8]]+Tabela2[[#This Row],[Perda 16x16]])</f>
        <v>0.31692081812748496</v>
      </c>
      <c r="G22" s="3">
        <f>SUM(Tabela2[[#This Row],[Média 8x8]]+Tabela2[[#This Row],[Média 16x16]])</f>
        <v>1828.2285714285715</v>
      </c>
      <c r="I22" s="24" t="s">
        <v>53</v>
      </c>
      <c r="J22" s="24">
        <v>128.45714285714286</v>
      </c>
      <c r="K22" s="24">
        <v>1.0735434574976122</v>
      </c>
      <c r="L22" s="25">
        <v>1420</v>
      </c>
      <c r="M22" s="25">
        <v>1</v>
      </c>
      <c r="N22" s="26">
        <v>7.3543457497612152E-2</v>
      </c>
      <c r="O22" s="25">
        <v>1548.4571428571428</v>
      </c>
      <c r="Q22" t="s">
        <v>66</v>
      </c>
      <c r="R22">
        <v>148</v>
      </c>
      <c r="S22">
        <v>148</v>
      </c>
      <c r="T22">
        <v>132</v>
      </c>
      <c r="U22">
        <v>124</v>
      </c>
      <c r="V22">
        <v>136</v>
      </c>
      <c r="W22">
        <v>132</v>
      </c>
      <c r="X22">
        <v>116</v>
      </c>
      <c r="Y22">
        <v>124</v>
      </c>
      <c r="Z22">
        <v>120</v>
      </c>
      <c r="AA22">
        <v>132</v>
      </c>
      <c r="AB22">
        <v>176</v>
      </c>
      <c r="AC22">
        <v>188</v>
      </c>
      <c r="AD22">
        <v>124</v>
      </c>
      <c r="AE22">
        <v>128</v>
      </c>
      <c r="AF22">
        <v>128</v>
      </c>
      <c r="AG22">
        <v>116</v>
      </c>
      <c r="AH22">
        <v>128</v>
      </c>
      <c r="AI22">
        <v>128</v>
      </c>
      <c r="AJ22">
        <v>136</v>
      </c>
      <c r="AK22">
        <v>132</v>
      </c>
      <c r="AL22">
        <v>148</v>
      </c>
      <c r="AM22">
        <v>176</v>
      </c>
      <c r="AN22">
        <v>116</v>
      </c>
      <c r="AO22">
        <v>164</v>
      </c>
      <c r="AP22">
        <v>112</v>
      </c>
      <c r="AQ22">
        <v>120</v>
      </c>
      <c r="AR22">
        <v>116</v>
      </c>
      <c r="AS22">
        <v>116</v>
      </c>
      <c r="AT22">
        <v>128</v>
      </c>
      <c r="AU22">
        <v>136</v>
      </c>
      <c r="AV22">
        <v>156</v>
      </c>
      <c r="AW22">
        <v>120</v>
      </c>
      <c r="AX22">
        <v>128</v>
      </c>
      <c r="AY22">
        <v>120</v>
      </c>
      <c r="AZ22">
        <v>116</v>
      </c>
      <c r="BA22">
        <v>116</v>
      </c>
      <c r="BB22">
        <v>124</v>
      </c>
      <c r="BC22">
        <v>128</v>
      </c>
      <c r="BD22">
        <v>128</v>
      </c>
      <c r="BE22">
        <v>152</v>
      </c>
      <c r="BF22">
        <v>104</v>
      </c>
      <c r="BG22">
        <v>128</v>
      </c>
      <c r="BH22">
        <v>112</v>
      </c>
      <c r="BI22">
        <v>124</v>
      </c>
      <c r="BJ22">
        <v>120</v>
      </c>
      <c r="BK22">
        <v>128</v>
      </c>
      <c r="BL22">
        <v>124</v>
      </c>
      <c r="BM22">
        <v>160</v>
      </c>
      <c r="BN22">
        <v>120</v>
      </c>
    </row>
    <row r="23" spans="1:66" x14ac:dyDescent="0.3">
      <c r="A23" t="s">
        <v>55</v>
      </c>
      <c r="B23" s="35">
        <v>128.57142857142858</v>
      </c>
      <c r="C23" s="35">
        <v>1768</v>
      </c>
      <c r="D23" s="32">
        <f>Tabela2[[#This Row],[Média 8x8]]/MIN(Tabela2[Média 8x8]) - 1</f>
        <v>7.4498567335243626E-2</v>
      </c>
      <c r="E23" s="32">
        <f>Tabela2[[#This Row],[Média 16x16]]/MIN(Tabela2[Média 16x16]) - 1</f>
        <v>0.24507042253521116</v>
      </c>
      <c r="F23" s="19">
        <f>(Tabela2[[#This Row],[Perda 8x8]]+Tabela2[[#This Row],[Perda 16x16]])</f>
        <v>0.31956898987045479</v>
      </c>
      <c r="G23" s="3">
        <f>SUM(Tabela2[[#This Row],[Média 8x8]]+Tabela2[[#This Row],[Média 16x16]])</f>
        <v>1896.5714285714287</v>
      </c>
      <c r="I23" s="24" t="s">
        <v>44</v>
      </c>
      <c r="J23" s="24">
        <v>123.65714285714286</v>
      </c>
      <c r="K23" s="24">
        <v>1.0334288443170965</v>
      </c>
      <c r="L23" s="25">
        <v>1503.4285714285713</v>
      </c>
      <c r="M23" s="25">
        <v>1.0587525150905432</v>
      </c>
      <c r="N23" s="26">
        <v>9.2181359407639718E-2</v>
      </c>
      <c r="O23" s="25">
        <v>1627.0857142857142</v>
      </c>
      <c r="Q23" t="s">
        <v>71</v>
      </c>
      <c r="R23">
        <v>128</v>
      </c>
      <c r="S23">
        <v>116</v>
      </c>
      <c r="T23">
        <v>128</v>
      </c>
      <c r="U23">
        <v>136</v>
      </c>
      <c r="V23">
        <v>152</v>
      </c>
      <c r="W23">
        <v>168</v>
      </c>
      <c r="X23">
        <v>120</v>
      </c>
      <c r="Y23">
        <v>128</v>
      </c>
      <c r="Z23">
        <v>124</v>
      </c>
      <c r="AA23">
        <v>136</v>
      </c>
      <c r="AB23">
        <v>124</v>
      </c>
      <c r="AC23">
        <v>132</v>
      </c>
      <c r="AD23">
        <v>128</v>
      </c>
      <c r="AE23">
        <v>124</v>
      </c>
      <c r="AF23">
        <v>156</v>
      </c>
      <c r="AG23">
        <v>164</v>
      </c>
      <c r="AH23">
        <v>136</v>
      </c>
      <c r="AI23">
        <v>160</v>
      </c>
      <c r="AJ23">
        <v>132</v>
      </c>
      <c r="AK23">
        <v>132</v>
      </c>
      <c r="AL23">
        <v>112</v>
      </c>
      <c r="AM23">
        <v>116</v>
      </c>
      <c r="AN23">
        <v>112</v>
      </c>
      <c r="AO23">
        <v>136</v>
      </c>
      <c r="AP23">
        <v>120</v>
      </c>
      <c r="AQ23">
        <v>120</v>
      </c>
      <c r="AR23">
        <v>124</v>
      </c>
      <c r="AS23">
        <v>128</v>
      </c>
      <c r="AT23">
        <v>140</v>
      </c>
      <c r="AU23">
        <v>152</v>
      </c>
      <c r="AV23">
        <v>120</v>
      </c>
      <c r="AW23">
        <v>132</v>
      </c>
      <c r="AX23">
        <v>132</v>
      </c>
      <c r="AY23">
        <v>132</v>
      </c>
      <c r="AZ23">
        <v>128</v>
      </c>
      <c r="BA23">
        <v>168</v>
      </c>
      <c r="BB23">
        <v>160</v>
      </c>
      <c r="BC23">
        <v>160</v>
      </c>
      <c r="BD23">
        <v>132</v>
      </c>
      <c r="BE23">
        <v>124</v>
      </c>
      <c r="BF23">
        <v>156</v>
      </c>
      <c r="BG23">
        <v>116</v>
      </c>
      <c r="BH23">
        <v>128</v>
      </c>
      <c r="BI23">
        <v>128</v>
      </c>
      <c r="BJ23">
        <v>128</v>
      </c>
      <c r="BK23">
        <v>136</v>
      </c>
      <c r="BL23">
        <v>136</v>
      </c>
      <c r="BM23">
        <v>140</v>
      </c>
      <c r="BN23">
        <v>140</v>
      </c>
    </row>
    <row r="24" spans="1:66" x14ac:dyDescent="0.3">
      <c r="A24" t="s">
        <v>97</v>
      </c>
      <c r="B24" s="35">
        <v>143.77142857142857</v>
      </c>
      <c r="C24" s="35">
        <v>1600</v>
      </c>
      <c r="D24" s="32">
        <f>Tabela2[[#This Row],[Média 8x8]]/MIN(Tabela2[Média 8x8]) - 1</f>
        <v>0.20152817574021009</v>
      </c>
      <c r="E24" s="32">
        <f>Tabela2[[#This Row],[Média 16x16]]/MIN(Tabela2[Média 16x16]) - 1</f>
        <v>0.12676056338028174</v>
      </c>
      <c r="F24" s="19">
        <f>(Tabela2[[#This Row],[Perda 8x8]]+Tabela2[[#This Row],[Perda 16x16]])</f>
        <v>0.32828873912049183</v>
      </c>
      <c r="G24" s="3">
        <f>SUM(Tabela2[[#This Row],[Média 8x8]]+Tabela2[[#This Row],[Média 16x16]])</f>
        <v>1743.7714285714285</v>
      </c>
      <c r="I24" s="24" t="s">
        <v>38</v>
      </c>
      <c r="J24" s="24">
        <v>121.02857142857142</v>
      </c>
      <c r="K24" s="24">
        <v>1.0114613180515759</v>
      </c>
      <c r="L24" s="25">
        <v>1546.8571428571429</v>
      </c>
      <c r="M24" s="25">
        <v>1.0893360160965795</v>
      </c>
      <c r="N24" s="26">
        <v>0.10079733414815539</v>
      </c>
      <c r="O24" s="25">
        <v>1667.8857142857144</v>
      </c>
      <c r="Q24" t="s">
        <v>72</v>
      </c>
      <c r="R24">
        <v>148</v>
      </c>
      <c r="S24">
        <v>112</v>
      </c>
      <c r="T24">
        <v>116</v>
      </c>
      <c r="U24">
        <v>116</v>
      </c>
      <c r="V24">
        <v>148</v>
      </c>
      <c r="W24">
        <v>160</v>
      </c>
      <c r="X24">
        <v>156</v>
      </c>
      <c r="Y24">
        <v>164</v>
      </c>
      <c r="Z24">
        <v>124</v>
      </c>
      <c r="AA24">
        <v>128</v>
      </c>
      <c r="AB24">
        <v>128</v>
      </c>
      <c r="AC24">
        <v>128</v>
      </c>
      <c r="AD24">
        <v>136</v>
      </c>
      <c r="AE24">
        <v>128</v>
      </c>
      <c r="AF24">
        <v>136</v>
      </c>
      <c r="AG24">
        <v>148</v>
      </c>
      <c r="AH24">
        <v>124</v>
      </c>
      <c r="AI24">
        <v>116</v>
      </c>
      <c r="AJ24">
        <v>120</v>
      </c>
      <c r="AK24">
        <v>116</v>
      </c>
      <c r="AL24">
        <v>128</v>
      </c>
      <c r="AM24">
        <v>120</v>
      </c>
      <c r="AN24">
        <v>128</v>
      </c>
      <c r="AO24">
        <v>128</v>
      </c>
      <c r="AP24">
        <v>144</v>
      </c>
      <c r="AQ24">
        <v>140</v>
      </c>
      <c r="AR24">
        <v>136</v>
      </c>
      <c r="AS24">
        <v>148</v>
      </c>
      <c r="AT24">
        <v>136</v>
      </c>
      <c r="AU24">
        <v>164</v>
      </c>
      <c r="AV24">
        <v>120</v>
      </c>
      <c r="AW24">
        <v>144</v>
      </c>
      <c r="AX24">
        <v>124</v>
      </c>
      <c r="AY24">
        <v>116</v>
      </c>
      <c r="AZ24">
        <v>128</v>
      </c>
      <c r="BA24">
        <v>128</v>
      </c>
      <c r="BB24">
        <v>120</v>
      </c>
      <c r="BC24">
        <v>132</v>
      </c>
      <c r="BD24">
        <v>124</v>
      </c>
      <c r="BE24">
        <v>128</v>
      </c>
      <c r="BF24">
        <v>132</v>
      </c>
      <c r="BG24">
        <v>136</v>
      </c>
      <c r="BH24">
        <v>144</v>
      </c>
      <c r="BI24">
        <v>116</v>
      </c>
      <c r="BJ24">
        <v>124</v>
      </c>
      <c r="BK24">
        <v>280</v>
      </c>
      <c r="BL24">
        <v>116</v>
      </c>
      <c r="BM24">
        <v>124</v>
      </c>
      <c r="BN24">
        <v>148</v>
      </c>
    </row>
    <row r="25" spans="1:66" x14ac:dyDescent="0.3">
      <c r="A25" t="s">
        <v>77</v>
      </c>
      <c r="B25" s="35">
        <v>128.68571428571428</v>
      </c>
      <c r="C25" s="35">
        <v>1785.1428571428571</v>
      </c>
      <c r="D25" s="32">
        <f>Tabela2[[#This Row],[Média 8x8]]/MIN(Tabela2[Média 8x8]) - 1</f>
        <v>7.5453677172874878E-2</v>
      </c>
      <c r="E25" s="32">
        <f>Tabela2[[#This Row],[Média 16x16]]/MIN(Tabela2[Média 16x16]) - 1</f>
        <v>0.25714285714285712</v>
      </c>
      <c r="F25" s="19">
        <f>(Tabela2[[#This Row],[Perda 8x8]]+Tabela2[[#This Row],[Perda 16x16]])</f>
        <v>0.332596534315732</v>
      </c>
      <c r="G25" s="3">
        <f>SUM(Tabela2[[#This Row],[Média 8x8]]+Tabela2[[#This Row],[Média 16x16]])</f>
        <v>1913.8285714285714</v>
      </c>
      <c r="I25" s="24" t="s">
        <v>56</v>
      </c>
      <c r="J25" s="24">
        <v>125.6</v>
      </c>
      <c r="K25" s="24">
        <v>1.0496657115568291</v>
      </c>
      <c r="L25" s="25">
        <v>1553.1428571428571</v>
      </c>
      <c r="M25" s="25">
        <v>1.0937625754527163</v>
      </c>
      <c r="N25" s="26">
        <v>0.14342828700954513</v>
      </c>
      <c r="O25" s="25">
        <v>1678.742857142857</v>
      </c>
      <c r="Q25" t="s">
        <v>73</v>
      </c>
      <c r="R25">
        <v>156</v>
      </c>
      <c r="S25">
        <v>168</v>
      </c>
      <c r="T25">
        <v>160</v>
      </c>
      <c r="U25">
        <v>148</v>
      </c>
      <c r="V25">
        <v>152</v>
      </c>
      <c r="W25">
        <v>140</v>
      </c>
      <c r="X25">
        <v>168</v>
      </c>
      <c r="Y25">
        <v>164</v>
      </c>
      <c r="Z25">
        <v>144</v>
      </c>
      <c r="AA25">
        <v>164</v>
      </c>
      <c r="AB25">
        <v>136</v>
      </c>
      <c r="AC25">
        <v>232</v>
      </c>
      <c r="AD25">
        <v>120</v>
      </c>
      <c r="AE25">
        <v>116</v>
      </c>
      <c r="AF25">
        <v>124</v>
      </c>
      <c r="AG25">
        <v>112</v>
      </c>
      <c r="AH25">
        <v>132</v>
      </c>
      <c r="AI25">
        <v>124</v>
      </c>
      <c r="AJ25">
        <v>124</v>
      </c>
      <c r="AK25">
        <v>128</v>
      </c>
      <c r="AL25">
        <v>140</v>
      </c>
      <c r="AM25">
        <v>132</v>
      </c>
      <c r="AN25">
        <v>124</v>
      </c>
      <c r="AO25">
        <v>116</v>
      </c>
      <c r="AP25">
        <v>132</v>
      </c>
      <c r="AQ25">
        <v>116</v>
      </c>
      <c r="AR25">
        <v>120</v>
      </c>
      <c r="AS25">
        <v>128</v>
      </c>
      <c r="AT25">
        <v>120</v>
      </c>
      <c r="AU25">
        <v>132</v>
      </c>
      <c r="AV25">
        <v>116</v>
      </c>
      <c r="AW25">
        <v>128</v>
      </c>
      <c r="AX25">
        <v>120</v>
      </c>
      <c r="AY25">
        <v>124</v>
      </c>
      <c r="AZ25">
        <v>124</v>
      </c>
      <c r="BA25">
        <v>120</v>
      </c>
      <c r="BB25">
        <v>124</v>
      </c>
      <c r="BC25">
        <v>136</v>
      </c>
      <c r="BD25">
        <v>140</v>
      </c>
      <c r="BE25">
        <v>156</v>
      </c>
      <c r="BF25">
        <v>116</v>
      </c>
      <c r="BG25">
        <v>116</v>
      </c>
      <c r="BH25">
        <v>116</v>
      </c>
      <c r="BI25">
        <v>108</v>
      </c>
      <c r="BJ25">
        <v>132</v>
      </c>
      <c r="BK25">
        <v>112</v>
      </c>
      <c r="BL25">
        <v>108</v>
      </c>
      <c r="BM25">
        <v>112</v>
      </c>
      <c r="BN25">
        <v>140</v>
      </c>
    </row>
    <row r="26" spans="1:66" x14ac:dyDescent="0.3">
      <c r="A26" t="s">
        <v>80</v>
      </c>
      <c r="B26" s="35">
        <v>129.6</v>
      </c>
      <c r="C26" s="35">
        <v>1783.4285714285713</v>
      </c>
      <c r="D26" s="32">
        <f>Tabela2[[#This Row],[Média 8x8]]/MIN(Tabela2[Média 8x8]) - 1</f>
        <v>8.3094555873925335E-2</v>
      </c>
      <c r="E26" s="32">
        <f>Tabela2[[#This Row],[Média 16x16]]/MIN(Tabela2[Média 16x16]) - 1</f>
        <v>0.2559356136820925</v>
      </c>
      <c r="F26" s="19">
        <f>(Tabela2[[#This Row],[Perda 8x8]]+Tabela2[[#This Row],[Perda 16x16]])</f>
        <v>0.33903016955601784</v>
      </c>
      <c r="G26" s="3">
        <f>SUM(Tabela2[[#This Row],[Média 8x8]]+Tabela2[[#This Row],[Média 16x16]])</f>
        <v>1913.0285714285712</v>
      </c>
      <c r="I26" s="24" t="s">
        <v>63</v>
      </c>
      <c r="J26" s="24">
        <v>127.2</v>
      </c>
      <c r="K26" s="24">
        <v>1.0630372492836677</v>
      </c>
      <c r="L26" s="25">
        <v>1540</v>
      </c>
      <c r="M26" s="25">
        <v>1.0845070422535212</v>
      </c>
      <c r="N26" s="26">
        <v>0.14754429153718895</v>
      </c>
      <c r="O26" s="25">
        <v>1667.2</v>
      </c>
      <c r="Q26" t="s">
        <v>75</v>
      </c>
      <c r="R26">
        <v>140</v>
      </c>
      <c r="S26">
        <v>152</v>
      </c>
      <c r="T26">
        <v>152</v>
      </c>
      <c r="U26">
        <v>132</v>
      </c>
      <c r="V26">
        <v>132</v>
      </c>
      <c r="W26">
        <v>140</v>
      </c>
      <c r="X26">
        <v>136</v>
      </c>
      <c r="Y26">
        <v>164</v>
      </c>
      <c r="Z26">
        <v>120</v>
      </c>
      <c r="AA26">
        <v>120</v>
      </c>
      <c r="AB26">
        <v>140</v>
      </c>
      <c r="AC26">
        <v>152</v>
      </c>
      <c r="AD26">
        <v>156</v>
      </c>
      <c r="AE26">
        <v>120</v>
      </c>
      <c r="AF26">
        <v>140</v>
      </c>
      <c r="AG26">
        <v>140</v>
      </c>
      <c r="AH26">
        <v>136</v>
      </c>
      <c r="AI26">
        <v>156</v>
      </c>
      <c r="AJ26">
        <v>136</v>
      </c>
      <c r="AK26">
        <v>124</v>
      </c>
      <c r="AL26">
        <v>136</v>
      </c>
      <c r="AM26">
        <v>156</v>
      </c>
      <c r="AN26">
        <v>160</v>
      </c>
      <c r="AO26">
        <v>124</v>
      </c>
      <c r="AP26">
        <v>148</v>
      </c>
      <c r="AQ26">
        <v>136</v>
      </c>
      <c r="AR26">
        <v>176</v>
      </c>
      <c r="AS26">
        <v>128</v>
      </c>
      <c r="AT26">
        <v>132</v>
      </c>
      <c r="AU26">
        <v>136</v>
      </c>
      <c r="AV26">
        <v>152</v>
      </c>
      <c r="AW26">
        <v>120</v>
      </c>
      <c r="AX26">
        <v>144</v>
      </c>
      <c r="AY26">
        <v>144</v>
      </c>
      <c r="AZ26">
        <v>160</v>
      </c>
      <c r="BA26">
        <v>188</v>
      </c>
      <c r="BB26">
        <v>136</v>
      </c>
      <c r="BC26">
        <v>156</v>
      </c>
      <c r="BD26">
        <v>164</v>
      </c>
      <c r="BE26">
        <v>152</v>
      </c>
      <c r="BF26">
        <v>128</v>
      </c>
      <c r="BG26">
        <v>152</v>
      </c>
      <c r="BH26">
        <v>156</v>
      </c>
      <c r="BI26">
        <v>156</v>
      </c>
      <c r="BJ26">
        <v>140</v>
      </c>
      <c r="BK26">
        <v>164</v>
      </c>
      <c r="BL26">
        <v>132</v>
      </c>
      <c r="BM26">
        <v>132</v>
      </c>
      <c r="BN26">
        <v>156</v>
      </c>
    </row>
    <row r="27" spans="1:66" x14ac:dyDescent="0.3">
      <c r="A27" t="s">
        <v>90</v>
      </c>
      <c r="B27" s="35">
        <v>131.31428571428572</v>
      </c>
      <c r="C27" s="35">
        <v>1773.7142857142858</v>
      </c>
      <c r="D27" s="32">
        <f>Tabela2[[#This Row],[Média 8x8]]/MIN(Tabela2[Média 8x8]) - 1</f>
        <v>9.7421203438395443E-2</v>
      </c>
      <c r="E27" s="32">
        <f>Tabela2[[#This Row],[Média 16x16]]/MIN(Tabela2[Média 16x16]) - 1</f>
        <v>0.2490945674044267</v>
      </c>
      <c r="F27" s="19">
        <f>(Tabela2[[#This Row],[Perda 8x8]]+Tabela2[[#This Row],[Perda 16x16]])</f>
        <v>0.34651577084282215</v>
      </c>
      <c r="G27" s="3">
        <f>SUM(Tabela2[[#This Row],[Média 8x8]]+Tabela2[[#This Row],[Média 16x16]])</f>
        <v>1905.0285714285715</v>
      </c>
      <c r="I27" s="21" t="s">
        <v>93</v>
      </c>
      <c r="J27" s="21">
        <v>136.34285714285716</v>
      </c>
      <c r="K27" s="21">
        <v>1.1394460362941738</v>
      </c>
      <c r="L27" s="27">
        <v>2224.5714285714284</v>
      </c>
      <c r="M27" s="27">
        <v>1.5665995975855129</v>
      </c>
      <c r="N27" s="28">
        <v>0.706045633879687</v>
      </c>
      <c r="O27" s="27">
        <v>2360.9142857142856</v>
      </c>
      <c r="Q27" t="s">
        <v>50</v>
      </c>
      <c r="R27">
        <v>104</v>
      </c>
      <c r="S27">
        <v>128</v>
      </c>
      <c r="T27">
        <v>112</v>
      </c>
      <c r="U27">
        <v>112</v>
      </c>
      <c r="V27">
        <v>124</v>
      </c>
      <c r="W27">
        <v>128</v>
      </c>
      <c r="X27">
        <v>112</v>
      </c>
      <c r="Y27">
        <v>112</v>
      </c>
      <c r="Z27">
        <v>128</v>
      </c>
      <c r="AA27">
        <v>108</v>
      </c>
      <c r="AB27">
        <v>112</v>
      </c>
      <c r="AC27">
        <v>132</v>
      </c>
      <c r="AD27">
        <v>116</v>
      </c>
      <c r="AE27">
        <v>132</v>
      </c>
      <c r="AF27">
        <v>120</v>
      </c>
      <c r="AG27">
        <v>124</v>
      </c>
      <c r="AH27">
        <v>132</v>
      </c>
      <c r="AI27">
        <v>140</v>
      </c>
      <c r="AJ27">
        <v>148</v>
      </c>
      <c r="AK27">
        <v>144</v>
      </c>
      <c r="AL27">
        <v>156</v>
      </c>
      <c r="AM27">
        <v>132</v>
      </c>
      <c r="AN27">
        <v>176</v>
      </c>
      <c r="AO27">
        <v>116</v>
      </c>
      <c r="AP27">
        <v>120</v>
      </c>
      <c r="AQ27">
        <v>108</v>
      </c>
      <c r="AR27">
        <v>108</v>
      </c>
      <c r="AS27">
        <v>120</v>
      </c>
      <c r="AT27">
        <v>108</v>
      </c>
      <c r="AU27">
        <v>128</v>
      </c>
      <c r="AV27">
        <v>120</v>
      </c>
      <c r="AW27">
        <v>112</v>
      </c>
      <c r="AX27">
        <v>104</v>
      </c>
      <c r="AY27">
        <v>120</v>
      </c>
      <c r="AZ27">
        <v>108</v>
      </c>
      <c r="BA27">
        <v>116</v>
      </c>
      <c r="BB27">
        <v>128</v>
      </c>
      <c r="BC27">
        <v>116</v>
      </c>
      <c r="BD27">
        <v>128</v>
      </c>
      <c r="BE27">
        <v>116</v>
      </c>
      <c r="BF27">
        <v>132</v>
      </c>
      <c r="BG27">
        <v>124</v>
      </c>
      <c r="BH27">
        <v>152</v>
      </c>
      <c r="BI27">
        <v>152</v>
      </c>
      <c r="BJ27">
        <v>160</v>
      </c>
      <c r="BK27">
        <v>176</v>
      </c>
      <c r="BL27">
        <v>144</v>
      </c>
      <c r="BM27">
        <v>164</v>
      </c>
      <c r="BN27">
        <v>116</v>
      </c>
    </row>
    <row r="28" spans="1:66" x14ac:dyDescent="0.3">
      <c r="A28" t="s">
        <v>74</v>
      </c>
      <c r="B28" s="35">
        <v>128.57142857142858</v>
      </c>
      <c r="C28" s="35">
        <v>1813.7142857142858</v>
      </c>
      <c r="D28" s="32">
        <f>Tabela2[[#This Row],[Média 8x8]]/MIN(Tabela2[Média 8x8]) - 1</f>
        <v>7.4498567335243626E-2</v>
      </c>
      <c r="E28" s="32">
        <f>Tabela2[[#This Row],[Média 16x16]]/MIN(Tabela2[Média 16x16]) - 1</f>
        <v>0.27726358148893371</v>
      </c>
      <c r="F28" s="19">
        <f>(Tabela2[[#This Row],[Perda 8x8]]+Tabela2[[#This Row],[Perda 16x16]])</f>
        <v>0.35176214882417733</v>
      </c>
      <c r="G28" s="3">
        <f>SUM(Tabela2[[#This Row],[Média 8x8]]+Tabela2[[#This Row],[Média 16x16]])</f>
        <v>1942.2857142857144</v>
      </c>
      <c r="I28" s="24" t="s">
        <v>88</v>
      </c>
      <c r="J28" s="24">
        <v>182.4</v>
      </c>
      <c r="K28" s="24">
        <v>1.5243553008595989</v>
      </c>
      <c r="L28" s="25">
        <v>1995.4285714285713</v>
      </c>
      <c r="M28" s="25">
        <v>1.4052313883299798</v>
      </c>
      <c r="N28" s="26">
        <v>0.92958668918957876</v>
      </c>
      <c r="O28" s="25">
        <v>2177.8285714285712</v>
      </c>
      <c r="Q28" t="s">
        <v>56</v>
      </c>
      <c r="R28">
        <v>128</v>
      </c>
      <c r="S28">
        <v>120</v>
      </c>
      <c r="T28">
        <v>140</v>
      </c>
      <c r="U28">
        <v>124</v>
      </c>
      <c r="V28">
        <v>132</v>
      </c>
      <c r="W28">
        <v>132</v>
      </c>
      <c r="X28">
        <v>116</v>
      </c>
      <c r="Y28">
        <v>128</v>
      </c>
      <c r="Z28">
        <v>112</v>
      </c>
      <c r="AA28">
        <v>128</v>
      </c>
      <c r="AB28">
        <v>112</v>
      </c>
      <c r="AC28">
        <v>124</v>
      </c>
      <c r="AD28">
        <v>128</v>
      </c>
      <c r="AE28">
        <v>124</v>
      </c>
      <c r="AF28">
        <v>132</v>
      </c>
      <c r="AG28">
        <v>136</v>
      </c>
      <c r="AH28">
        <v>140</v>
      </c>
      <c r="AI28">
        <v>156</v>
      </c>
      <c r="AJ28">
        <v>184</v>
      </c>
      <c r="AK28">
        <v>120</v>
      </c>
      <c r="AL28">
        <v>116</v>
      </c>
      <c r="AM28">
        <v>124</v>
      </c>
      <c r="AN28">
        <v>140</v>
      </c>
      <c r="AO28">
        <v>128</v>
      </c>
      <c r="AP28">
        <v>116</v>
      </c>
      <c r="AQ28">
        <v>112</v>
      </c>
      <c r="AR28">
        <v>120</v>
      </c>
      <c r="AS28">
        <v>136</v>
      </c>
      <c r="AT28">
        <v>112</v>
      </c>
      <c r="AU28">
        <v>112</v>
      </c>
      <c r="AV28">
        <v>140</v>
      </c>
      <c r="AW28">
        <v>120</v>
      </c>
      <c r="AX28">
        <v>120</v>
      </c>
      <c r="AY28">
        <v>124</v>
      </c>
      <c r="AZ28">
        <v>112</v>
      </c>
      <c r="BA28">
        <v>132</v>
      </c>
      <c r="BB28">
        <v>112</v>
      </c>
      <c r="BC28">
        <v>116</v>
      </c>
      <c r="BD28">
        <v>112</v>
      </c>
      <c r="BE28">
        <v>136</v>
      </c>
      <c r="BF28">
        <v>120</v>
      </c>
      <c r="BG28">
        <v>148</v>
      </c>
      <c r="BH28">
        <v>156</v>
      </c>
      <c r="BI28">
        <v>148</v>
      </c>
      <c r="BJ28">
        <v>120</v>
      </c>
      <c r="BK28">
        <v>164</v>
      </c>
      <c r="BL28">
        <v>160</v>
      </c>
      <c r="BM28">
        <v>112</v>
      </c>
      <c r="BN28">
        <v>104</v>
      </c>
    </row>
    <row r="29" spans="1:66" x14ac:dyDescent="0.3">
      <c r="A29" t="s">
        <v>104</v>
      </c>
      <c r="B29" s="35">
        <v>150.85714285714286</v>
      </c>
      <c r="C29" s="35">
        <v>1558.8571428571429</v>
      </c>
      <c r="D29" s="32">
        <f>Tabela2[[#This Row],[Média 8x8]]/MIN(Tabela2[Média 8x8]) - 1</f>
        <v>0.26074498567335236</v>
      </c>
      <c r="E29" s="32">
        <f>Tabela2[[#This Row],[Média 16x16]]/MIN(Tabela2[Média 16x16]) - 1</f>
        <v>9.7786720321931586E-2</v>
      </c>
      <c r="F29" s="19">
        <f>(Tabela2[[#This Row],[Perda 8x8]]+Tabela2[[#This Row],[Perda 16x16]])</f>
        <v>0.35853170599528394</v>
      </c>
      <c r="G29" s="3">
        <f>SUM(Tabela2[[#This Row],[Média 8x8]]+Tabela2[[#This Row],[Média 16x16]])</f>
        <v>1709.7142857142858</v>
      </c>
      <c r="I29" s="24" t="s">
        <v>106</v>
      </c>
      <c r="J29" s="24">
        <v>164.91428571428571</v>
      </c>
      <c r="K29" s="24">
        <v>1.3782234957020056</v>
      </c>
      <c r="L29" s="25">
        <v>2238.8571428571427</v>
      </c>
      <c r="M29" s="25">
        <v>1.5766599597585511</v>
      </c>
      <c r="N29" s="26">
        <v>0.95488345546055697</v>
      </c>
      <c r="O29" s="25">
        <v>2403.7714285714283</v>
      </c>
      <c r="Q29" t="s">
        <v>70</v>
      </c>
      <c r="R29">
        <v>152</v>
      </c>
      <c r="S29">
        <v>244</v>
      </c>
      <c r="T29">
        <v>116</v>
      </c>
      <c r="U29">
        <v>116</v>
      </c>
      <c r="V29">
        <v>140</v>
      </c>
      <c r="W29">
        <v>128</v>
      </c>
      <c r="X29">
        <v>128</v>
      </c>
      <c r="Y29">
        <v>132</v>
      </c>
      <c r="Z29">
        <v>132</v>
      </c>
      <c r="AA29">
        <v>156</v>
      </c>
      <c r="AB29">
        <v>132</v>
      </c>
      <c r="AC29">
        <v>132</v>
      </c>
      <c r="AD29">
        <v>124</v>
      </c>
      <c r="AE29">
        <v>120</v>
      </c>
      <c r="AF29">
        <v>124</v>
      </c>
      <c r="AG29">
        <v>124</v>
      </c>
      <c r="AH29">
        <v>132</v>
      </c>
      <c r="AI29">
        <v>136</v>
      </c>
      <c r="AJ29">
        <v>156</v>
      </c>
      <c r="AK29">
        <v>108</v>
      </c>
      <c r="AL29">
        <v>116</v>
      </c>
      <c r="AM29">
        <v>128</v>
      </c>
      <c r="AN29">
        <v>120</v>
      </c>
      <c r="AO29">
        <v>116</v>
      </c>
      <c r="AP29">
        <v>128</v>
      </c>
      <c r="AQ29">
        <v>120</v>
      </c>
      <c r="AR29">
        <v>128</v>
      </c>
      <c r="AS29">
        <v>124</v>
      </c>
      <c r="AT29">
        <v>112</v>
      </c>
      <c r="AU29">
        <v>120</v>
      </c>
      <c r="AV29">
        <v>116</v>
      </c>
      <c r="AW29">
        <v>124</v>
      </c>
      <c r="AX29">
        <v>144</v>
      </c>
      <c r="AY29">
        <v>156</v>
      </c>
      <c r="AZ29">
        <v>196</v>
      </c>
      <c r="BA29">
        <v>152</v>
      </c>
      <c r="BB29">
        <v>116</v>
      </c>
      <c r="BC29">
        <v>128</v>
      </c>
      <c r="BD29">
        <v>120</v>
      </c>
      <c r="BE29">
        <v>128</v>
      </c>
      <c r="BF29">
        <v>116</v>
      </c>
      <c r="BG29">
        <v>124</v>
      </c>
      <c r="BH29">
        <v>120</v>
      </c>
      <c r="BI29">
        <v>132</v>
      </c>
      <c r="BJ29">
        <v>128</v>
      </c>
      <c r="BK29">
        <v>136</v>
      </c>
      <c r="BL29">
        <v>136</v>
      </c>
      <c r="BM29">
        <v>140</v>
      </c>
      <c r="BN29">
        <v>156</v>
      </c>
    </row>
    <row r="30" spans="1:66" x14ac:dyDescent="0.3">
      <c r="A30" t="s">
        <v>36</v>
      </c>
      <c r="B30" s="35">
        <v>134.4</v>
      </c>
      <c r="C30" s="35">
        <v>1755.4285714285713</v>
      </c>
      <c r="D30" s="32">
        <f>Tabela2[[#This Row],[Média 8x8]]/MIN(Tabela2[Média 8x8]) - 1</f>
        <v>0.12320916905444124</v>
      </c>
      <c r="E30" s="32">
        <f>Tabela2[[#This Row],[Média 16x16]]/MIN(Tabela2[Média 16x16]) - 1</f>
        <v>0.2362173038229376</v>
      </c>
      <c r="F30" s="19">
        <f>(Tabela2[[#This Row],[Perda 8x8]]+Tabela2[[#This Row],[Perda 16x16]])</f>
        <v>0.35942647287737883</v>
      </c>
      <c r="G30" s="3">
        <f>SUM(Tabela2[[#This Row],[Média 8x8]]+Tabela2[[#This Row],[Média 16x16]])</f>
        <v>1889.8285714285714</v>
      </c>
      <c r="I30" s="24" t="s">
        <v>79</v>
      </c>
      <c r="J30" s="24">
        <v>161.71428571428572</v>
      </c>
      <c r="K30" s="24">
        <v>1.3514804202483286</v>
      </c>
      <c r="L30" s="25">
        <v>2338.8571428571427</v>
      </c>
      <c r="M30" s="25">
        <v>1.6470824949698188</v>
      </c>
      <c r="N30" s="26">
        <v>0.99856291521814722</v>
      </c>
      <c r="O30" s="25">
        <v>2500.5714285714284</v>
      </c>
      <c r="Q30" t="s">
        <v>63</v>
      </c>
      <c r="R30">
        <v>116</v>
      </c>
      <c r="S30">
        <v>128</v>
      </c>
      <c r="T30">
        <v>112</v>
      </c>
      <c r="U30">
        <v>128</v>
      </c>
      <c r="V30">
        <v>124</v>
      </c>
      <c r="W30">
        <v>120</v>
      </c>
      <c r="X30">
        <v>112</v>
      </c>
      <c r="Y30">
        <v>120</v>
      </c>
      <c r="Z30">
        <v>128</v>
      </c>
      <c r="AA30">
        <v>132</v>
      </c>
      <c r="AB30">
        <v>120</v>
      </c>
      <c r="AC30">
        <v>124</v>
      </c>
      <c r="AD30">
        <v>128</v>
      </c>
      <c r="AE30">
        <v>132</v>
      </c>
      <c r="AF30">
        <v>136</v>
      </c>
      <c r="AG30">
        <v>132</v>
      </c>
      <c r="AH30">
        <v>116</v>
      </c>
      <c r="AI30">
        <v>124</v>
      </c>
      <c r="AJ30">
        <v>112</v>
      </c>
      <c r="AK30">
        <v>112</v>
      </c>
      <c r="AL30">
        <v>112</v>
      </c>
      <c r="AM30">
        <v>120</v>
      </c>
      <c r="AN30">
        <v>124</v>
      </c>
      <c r="AO30">
        <v>128</v>
      </c>
      <c r="AP30">
        <v>132</v>
      </c>
      <c r="AQ30">
        <v>136</v>
      </c>
      <c r="AR30">
        <v>128</v>
      </c>
      <c r="AS30">
        <v>148</v>
      </c>
      <c r="AT30">
        <v>144</v>
      </c>
      <c r="AU30">
        <v>156</v>
      </c>
      <c r="AV30">
        <v>140</v>
      </c>
      <c r="AW30">
        <v>132</v>
      </c>
      <c r="AX30">
        <v>140</v>
      </c>
      <c r="AY30">
        <v>136</v>
      </c>
      <c r="AZ30">
        <v>116</v>
      </c>
      <c r="BA30">
        <v>120</v>
      </c>
      <c r="BB30">
        <v>116</v>
      </c>
      <c r="BC30">
        <v>128</v>
      </c>
      <c r="BD30">
        <v>112</v>
      </c>
      <c r="BE30">
        <v>132</v>
      </c>
      <c r="BF30">
        <v>120</v>
      </c>
      <c r="BG30">
        <v>124</v>
      </c>
      <c r="BH30">
        <v>116</v>
      </c>
      <c r="BI30">
        <v>156</v>
      </c>
      <c r="BJ30">
        <v>148</v>
      </c>
      <c r="BK30">
        <v>160</v>
      </c>
      <c r="BL30">
        <v>156</v>
      </c>
      <c r="BM30">
        <v>148</v>
      </c>
      <c r="BN30">
        <v>128</v>
      </c>
    </row>
    <row r="31" spans="1:66" x14ac:dyDescent="0.3">
      <c r="A31" t="s">
        <v>37</v>
      </c>
      <c r="B31" s="35">
        <v>133.37142857142857</v>
      </c>
      <c r="C31" s="35">
        <v>1773.7142857142858</v>
      </c>
      <c r="D31" s="32">
        <f>Tabela2[[#This Row],[Média 8x8]]/MIN(Tabela2[Média 8x8]) - 1</f>
        <v>0.11461318051575931</v>
      </c>
      <c r="E31" s="32">
        <f>Tabela2[[#This Row],[Média 16x16]]/MIN(Tabela2[Média 16x16]) - 1</f>
        <v>0.2490945674044267</v>
      </c>
      <c r="F31" s="19">
        <f>(Tabela2[[#This Row],[Perda 8x8]]+Tabela2[[#This Row],[Perda 16x16]])</f>
        <v>0.36370774792018601</v>
      </c>
      <c r="G31" s="3">
        <f>SUM(Tabela2[[#This Row],[Média 8x8]]+Tabela2[[#This Row],[Média 16x16]])</f>
        <v>1907.0857142857144</v>
      </c>
      <c r="I31" s="24" t="s">
        <v>91</v>
      </c>
      <c r="J31" s="24">
        <v>143.77142857142857</v>
      </c>
      <c r="K31" s="24">
        <v>1.2015281757402101</v>
      </c>
      <c r="L31" s="25">
        <v>2777.7142857142858</v>
      </c>
      <c r="M31" s="25">
        <v>1.9561368209255534</v>
      </c>
      <c r="N31" s="26">
        <v>1.1576649966657637</v>
      </c>
      <c r="O31" s="25">
        <v>2921.4857142857145</v>
      </c>
      <c r="Q31" t="s">
        <v>79</v>
      </c>
      <c r="R31">
        <v>164</v>
      </c>
      <c r="S31">
        <v>168</v>
      </c>
      <c r="T31">
        <v>168</v>
      </c>
      <c r="U31">
        <v>200</v>
      </c>
      <c r="V31">
        <v>196</v>
      </c>
      <c r="W31">
        <v>288</v>
      </c>
      <c r="X31">
        <v>292</v>
      </c>
      <c r="Y31">
        <v>116</v>
      </c>
      <c r="Z31">
        <v>120</v>
      </c>
      <c r="AA31">
        <v>160</v>
      </c>
      <c r="AB31">
        <v>124</v>
      </c>
      <c r="AC31">
        <v>120</v>
      </c>
      <c r="AD31">
        <v>164</v>
      </c>
      <c r="AE31">
        <v>140</v>
      </c>
      <c r="AF31">
        <v>148</v>
      </c>
      <c r="AG31">
        <v>180</v>
      </c>
      <c r="AH31">
        <v>128</v>
      </c>
      <c r="AI31">
        <v>160</v>
      </c>
      <c r="AJ31">
        <v>168</v>
      </c>
      <c r="AK31">
        <v>120</v>
      </c>
      <c r="AL31">
        <v>180</v>
      </c>
      <c r="AM31">
        <v>184</v>
      </c>
      <c r="AN31">
        <v>180</v>
      </c>
      <c r="AO31">
        <v>196</v>
      </c>
      <c r="AP31">
        <v>192</v>
      </c>
      <c r="AQ31">
        <v>292</v>
      </c>
      <c r="AR31">
        <v>316</v>
      </c>
      <c r="AS31">
        <v>152</v>
      </c>
      <c r="AT31">
        <v>128</v>
      </c>
      <c r="AU31">
        <v>176</v>
      </c>
      <c r="AV31">
        <v>120</v>
      </c>
      <c r="AW31">
        <v>124</v>
      </c>
      <c r="AX31">
        <v>164</v>
      </c>
      <c r="AY31">
        <v>128</v>
      </c>
      <c r="AZ31">
        <v>156</v>
      </c>
      <c r="BA31">
        <v>120</v>
      </c>
      <c r="BB31">
        <v>156</v>
      </c>
      <c r="BC31">
        <v>120</v>
      </c>
      <c r="BD31">
        <v>168</v>
      </c>
      <c r="BE31">
        <v>168</v>
      </c>
      <c r="BF31">
        <v>160</v>
      </c>
      <c r="BG31">
        <v>184</v>
      </c>
      <c r="BH31">
        <v>292</v>
      </c>
      <c r="BI31">
        <v>180</v>
      </c>
      <c r="BJ31">
        <v>300</v>
      </c>
      <c r="BK31">
        <v>308</v>
      </c>
      <c r="BL31">
        <v>112</v>
      </c>
      <c r="BM31">
        <v>124</v>
      </c>
      <c r="BN31">
        <v>172</v>
      </c>
    </row>
    <row r="32" spans="1:66" x14ac:dyDescent="0.3">
      <c r="A32" t="s">
        <v>109</v>
      </c>
      <c r="B32" s="35">
        <v>133.25714285714287</v>
      </c>
      <c r="C32" s="35">
        <v>1777.1428571428571</v>
      </c>
      <c r="D32" s="32">
        <f>Tabela2[[#This Row],[Média 8x8]]/MIN(Tabela2[Média 8x8]) - 1</f>
        <v>0.11365807067812805</v>
      </c>
      <c r="E32" s="32">
        <f>Tabela2[[#This Row],[Média 16x16]]/MIN(Tabela2[Média 16x16]) - 1</f>
        <v>0.25150905432595572</v>
      </c>
      <c r="F32" s="19">
        <f>(Tabela2[[#This Row],[Perda 8x8]]+Tabela2[[#This Row],[Perda 16x16]])</f>
        <v>0.36516712500408377</v>
      </c>
      <c r="G32" s="3">
        <f>SUM(Tabela2[[#This Row],[Média 8x8]]+Tabela2[[#This Row],[Média 16x16]])</f>
        <v>1910.4</v>
      </c>
      <c r="I32" s="29" t="s">
        <v>68</v>
      </c>
      <c r="J32" s="29">
        <v>128.34285714285716</v>
      </c>
      <c r="K32" s="29">
        <v>1.0725883476599809</v>
      </c>
      <c r="L32" s="30">
        <v>4055.4285714285716</v>
      </c>
      <c r="M32" s="30">
        <v>2.8559356136820928</v>
      </c>
      <c r="N32" s="31">
        <v>1.9285239613420737</v>
      </c>
      <c r="O32" s="30">
        <v>4183.7714285714283</v>
      </c>
      <c r="Q32" t="s">
        <v>81</v>
      </c>
      <c r="R32">
        <v>168</v>
      </c>
      <c r="S32">
        <v>128</v>
      </c>
      <c r="T32">
        <v>160</v>
      </c>
      <c r="U32">
        <v>128</v>
      </c>
      <c r="V32">
        <v>176</v>
      </c>
      <c r="W32">
        <v>128</v>
      </c>
      <c r="X32">
        <v>176</v>
      </c>
      <c r="Y32">
        <v>176</v>
      </c>
      <c r="Z32">
        <v>184</v>
      </c>
      <c r="AA32">
        <v>172</v>
      </c>
      <c r="AB32">
        <v>224</v>
      </c>
      <c r="AC32">
        <v>220</v>
      </c>
      <c r="AD32">
        <v>316</v>
      </c>
      <c r="AE32">
        <v>316</v>
      </c>
      <c r="AF32">
        <v>104</v>
      </c>
      <c r="AG32">
        <v>108</v>
      </c>
      <c r="AH32">
        <v>112</v>
      </c>
      <c r="AI32">
        <v>156</v>
      </c>
      <c r="AJ32">
        <v>124</v>
      </c>
      <c r="AK32">
        <v>124</v>
      </c>
      <c r="AL32">
        <v>156</v>
      </c>
      <c r="AM32">
        <v>116</v>
      </c>
      <c r="AN32">
        <v>132</v>
      </c>
      <c r="AO32">
        <v>168</v>
      </c>
      <c r="AP32">
        <v>104</v>
      </c>
      <c r="AQ32">
        <v>144</v>
      </c>
      <c r="AR32">
        <v>120</v>
      </c>
      <c r="AS32">
        <v>160</v>
      </c>
      <c r="AT32">
        <v>164</v>
      </c>
      <c r="AU32">
        <v>152</v>
      </c>
      <c r="AV32">
        <v>160</v>
      </c>
      <c r="AW32">
        <v>156</v>
      </c>
      <c r="AX32">
        <v>184</v>
      </c>
      <c r="AY32">
        <v>200</v>
      </c>
      <c r="AZ32">
        <v>300</v>
      </c>
      <c r="BA32">
        <v>288</v>
      </c>
      <c r="BB32">
        <v>120</v>
      </c>
      <c r="BC32">
        <v>116</v>
      </c>
      <c r="BD32">
        <v>120</v>
      </c>
      <c r="BE32">
        <v>144</v>
      </c>
      <c r="BF32">
        <v>112</v>
      </c>
      <c r="BG32">
        <v>124</v>
      </c>
      <c r="BH32">
        <v>148</v>
      </c>
      <c r="BI32">
        <v>112</v>
      </c>
      <c r="BJ32">
        <v>140</v>
      </c>
      <c r="BK32">
        <v>136</v>
      </c>
      <c r="BL32">
        <v>144</v>
      </c>
      <c r="BM32">
        <v>112</v>
      </c>
      <c r="BN32">
        <v>144</v>
      </c>
    </row>
    <row r="33" spans="1:66" x14ac:dyDescent="0.3">
      <c r="A33" t="s">
        <v>94</v>
      </c>
      <c r="B33" s="35">
        <v>131.88571428571427</v>
      </c>
      <c r="C33" s="35">
        <v>1805.7142857142858</v>
      </c>
      <c r="D33" s="32">
        <f>Tabela2[[#This Row],[Média 8x8]]/MIN(Tabela2[Média 8x8]) - 1</f>
        <v>0.10219675262655192</v>
      </c>
      <c r="E33" s="32">
        <f>Tabela2[[#This Row],[Média 16x16]]/MIN(Tabela2[Média 16x16]) - 1</f>
        <v>0.27162977867203231</v>
      </c>
      <c r="F33" s="19">
        <f>(Tabela2[[#This Row],[Perda 8x8]]+Tabela2[[#This Row],[Perda 16x16]])</f>
        <v>0.37382653129858423</v>
      </c>
      <c r="G33" s="3">
        <f>SUM(Tabela2[[#This Row],[Média 8x8]]+Tabela2[[#This Row],[Média 16x16]])</f>
        <v>1937.6000000000001</v>
      </c>
      <c r="J33"/>
      <c r="K33"/>
      <c r="Q33" t="s">
        <v>83</v>
      </c>
      <c r="R33">
        <v>108</v>
      </c>
      <c r="S33">
        <v>112</v>
      </c>
      <c r="T33">
        <v>156</v>
      </c>
      <c r="U33">
        <v>124</v>
      </c>
      <c r="V33">
        <v>156</v>
      </c>
      <c r="W33">
        <v>116</v>
      </c>
      <c r="X33">
        <v>164</v>
      </c>
      <c r="Y33">
        <v>120</v>
      </c>
      <c r="Z33">
        <v>152</v>
      </c>
      <c r="AA33">
        <v>116</v>
      </c>
      <c r="AB33">
        <v>156</v>
      </c>
      <c r="AC33">
        <v>152</v>
      </c>
      <c r="AD33">
        <v>160</v>
      </c>
      <c r="AE33">
        <v>188</v>
      </c>
      <c r="AF33">
        <v>196</v>
      </c>
      <c r="AG33">
        <v>256</v>
      </c>
      <c r="AH33">
        <v>384</v>
      </c>
      <c r="AI33">
        <v>124</v>
      </c>
      <c r="AJ33">
        <v>116</v>
      </c>
      <c r="AK33">
        <v>124</v>
      </c>
      <c r="AL33">
        <v>156</v>
      </c>
      <c r="AM33">
        <v>108</v>
      </c>
      <c r="AN33">
        <v>108</v>
      </c>
      <c r="AO33">
        <v>192</v>
      </c>
      <c r="AP33">
        <v>232</v>
      </c>
      <c r="AQ33">
        <v>112</v>
      </c>
      <c r="AR33">
        <v>156</v>
      </c>
      <c r="AS33">
        <v>116</v>
      </c>
      <c r="AT33">
        <v>108</v>
      </c>
      <c r="AU33">
        <v>144</v>
      </c>
      <c r="AV33">
        <v>116</v>
      </c>
      <c r="AW33">
        <v>152</v>
      </c>
      <c r="AX33">
        <v>152</v>
      </c>
      <c r="AY33">
        <v>124</v>
      </c>
      <c r="AZ33">
        <v>172</v>
      </c>
      <c r="BA33">
        <v>172</v>
      </c>
      <c r="BB33">
        <v>156</v>
      </c>
      <c r="BC33">
        <v>192</v>
      </c>
      <c r="BD33">
        <v>204</v>
      </c>
      <c r="BE33">
        <v>260</v>
      </c>
      <c r="BF33">
        <v>328</v>
      </c>
      <c r="BG33">
        <v>112</v>
      </c>
      <c r="BH33">
        <v>116</v>
      </c>
      <c r="BI33">
        <v>132</v>
      </c>
      <c r="BJ33">
        <v>180</v>
      </c>
      <c r="BK33">
        <v>116</v>
      </c>
      <c r="BL33">
        <v>112</v>
      </c>
      <c r="BM33">
        <v>148</v>
      </c>
      <c r="BN33">
        <v>120</v>
      </c>
    </row>
    <row r="34" spans="1:66" x14ac:dyDescent="0.3">
      <c r="A34" t="s">
        <v>39</v>
      </c>
      <c r="B34" s="35">
        <v>135.19999999999999</v>
      </c>
      <c r="C34" s="35">
        <v>1780.5714285714287</v>
      </c>
      <c r="D34" s="32">
        <f>Tabela2[[#This Row],[Média 8x8]]/MIN(Tabela2[Média 8x8]) - 1</f>
        <v>0.12989493791786044</v>
      </c>
      <c r="E34" s="32">
        <f>Tabela2[[#This Row],[Média 16x16]]/MIN(Tabela2[Média 16x16]) - 1</f>
        <v>0.25392354124748495</v>
      </c>
      <c r="F34" s="19">
        <f>(Tabela2[[#This Row],[Perda 8x8]]+Tabela2[[#This Row],[Perda 16x16]])</f>
        <v>0.38381847916534539</v>
      </c>
      <c r="G34" s="3">
        <f>SUM(Tabela2[[#This Row],[Média 8x8]]+Tabela2[[#This Row],[Média 16x16]])</f>
        <v>1915.7714285714287</v>
      </c>
      <c r="J34"/>
      <c r="K34"/>
      <c r="Q34" t="s">
        <v>84</v>
      </c>
      <c r="R34">
        <v>160</v>
      </c>
      <c r="S34">
        <v>116</v>
      </c>
      <c r="T34">
        <v>112</v>
      </c>
      <c r="U34">
        <v>140</v>
      </c>
      <c r="V34">
        <v>116</v>
      </c>
      <c r="W34">
        <v>148</v>
      </c>
      <c r="X34">
        <v>128</v>
      </c>
      <c r="Y34">
        <v>168</v>
      </c>
      <c r="Z34">
        <v>156</v>
      </c>
      <c r="AA34">
        <v>132</v>
      </c>
      <c r="AB34">
        <v>160</v>
      </c>
      <c r="AC34">
        <v>148</v>
      </c>
      <c r="AD34">
        <v>148</v>
      </c>
      <c r="AE34">
        <v>172</v>
      </c>
      <c r="AF34">
        <v>264</v>
      </c>
      <c r="AG34">
        <v>288</v>
      </c>
      <c r="AH34">
        <v>124</v>
      </c>
      <c r="AI34">
        <v>128</v>
      </c>
      <c r="AJ34">
        <v>124</v>
      </c>
      <c r="AK34">
        <v>120</v>
      </c>
      <c r="AL34">
        <v>164</v>
      </c>
      <c r="AM34">
        <v>132</v>
      </c>
      <c r="AN34">
        <v>116</v>
      </c>
      <c r="AO34">
        <v>156</v>
      </c>
      <c r="AP34">
        <v>128</v>
      </c>
      <c r="AQ34">
        <v>116</v>
      </c>
      <c r="AR34">
        <v>156</v>
      </c>
      <c r="AS34">
        <v>116</v>
      </c>
      <c r="AT34">
        <v>136</v>
      </c>
      <c r="AU34">
        <v>172</v>
      </c>
      <c r="AV34">
        <v>108</v>
      </c>
      <c r="AW34">
        <v>152</v>
      </c>
      <c r="AX34">
        <v>116</v>
      </c>
      <c r="AY34">
        <v>148</v>
      </c>
      <c r="AZ34">
        <v>148</v>
      </c>
      <c r="BA34">
        <v>112</v>
      </c>
      <c r="BB34">
        <v>148</v>
      </c>
      <c r="BC34">
        <v>148</v>
      </c>
      <c r="BD34">
        <v>188</v>
      </c>
      <c r="BE34">
        <v>252</v>
      </c>
      <c r="BF34">
        <v>232</v>
      </c>
      <c r="BG34">
        <v>300</v>
      </c>
      <c r="BH34">
        <v>116</v>
      </c>
      <c r="BI34">
        <v>144</v>
      </c>
      <c r="BJ34">
        <v>108</v>
      </c>
      <c r="BK34">
        <v>152</v>
      </c>
      <c r="BL34">
        <v>112</v>
      </c>
      <c r="BM34">
        <v>120</v>
      </c>
      <c r="BN34">
        <v>112</v>
      </c>
    </row>
    <row r="35" spans="1:66" x14ac:dyDescent="0.3">
      <c r="A35" t="s">
        <v>43</v>
      </c>
      <c r="B35" s="35">
        <v>145.02857142857144</v>
      </c>
      <c r="C35" s="35">
        <v>1668.5714285714287</v>
      </c>
      <c r="D35" s="32">
        <f>Tabela2[[#This Row],[Média 8x8]]/MIN(Tabela2[Média 8x8]) - 1</f>
        <v>0.21203438395415475</v>
      </c>
      <c r="E35" s="32">
        <f>Tabela2[[#This Row],[Média 16x16]]/MIN(Tabela2[Média 16x16]) - 1</f>
        <v>0.17505030181086534</v>
      </c>
      <c r="F35" s="19">
        <f>(Tabela2[[#This Row],[Perda 8x8]]+Tabela2[[#This Row],[Perda 16x16]])</f>
        <v>0.38708468576502009</v>
      </c>
      <c r="G35" s="3">
        <f>SUM(Tabela2[[#This Row],[Média 8x8]]+Tabela2[[#This Row],[Média 16x16]])</f>
        <v>1813.6000000000001</v>
      </c>
      <c r="J35"/>
      <c r="K35"/>
      <c r="Q35" t="s">
        <v>85</v>
      </c>
      <c r="R35">
        <v>116</v>
      </c>
      <c r="S35">
        <v>164</v>
      </c>
      <c r="T35">
        <v>120</v>
      </c>
      <c r="U35">
        <v>168</v>
      </c>
      <c r="V35">
        <v>124</v>
      </c>
      <c r="W35">
        <v>160</v>
      </c>
      <c r="X35">
        <v>160</v>
      </c>
      <c r="Y35">
        <v>172</v>
      </c>
      <c r="Z35">
        <v>160</v>
      </c>
      <c r="AA35">
        <v>200</v>
      </c>
      <c r="AB35">
        <v>188</v>
      </c>
      <c r="AC35">
        <v>260</v>
      </c>
      <c r="AD35">
        <v>328</v>
      </c>
      <c r="AE35">
        <v>128</v>
      </c>
      <c r="AF35">
        <v>120</v>
      </c>
      <c r="AG35">
        <v>160</v>
      </c>
      <c r="AH35">
        <v>120</v>
      </c>
      <c r="AI35">
        <v>152</v>
      </c>
      <c r="AJ35">
        <v>116</v>
      </c>
      <c r="AK35">
        <v>152</v>
      </c>
      <c r="AL35">
        <v>156</v>
      </c>
      <c r="AM35">
        <v>116</v>
      </c>
      <c r="AN35">
        <v>156</v>
      </c>
      <c r="AO35">
        <v>152</v>
      </c>
      <c r="AP35">
        <v>192</v>
      </c>
      <c r="AQ35">
        <v>192</v>
      </c>
      <c r="AR35">
        <v>212</v>
      </c>
      <c r="AS35">
        <v>296</v>
      </c>
      <c r="AT35">
        <v>124</v>
      </c>
      <c r="AU35">
        <v>128</v>
      </c>
      <c r="AV35">
        <v>164</v>
      </c>
      <c r="AW35">
        <v>124</v>
      </c>
      <c r="AX35">
        <v>164</v>
      </c>
      <c r="AY35">
        <v>124</v>
      </c>
      <c r="AZ35">
        <v>168</v>
      </c>
      <c r="BA35">
        <v>160</v>
      </c>
      <c r="BB35">
        <v>156</v>
      </c>
      <c r="BC35">
        <v>160</v>
      </c>
      <c r="BD35">
        <v>156</v>
      </c>
      <c r="BE35">
        <v>200</v>
      </c>
      <c r="BF35">
        <v>240</v>
      </c>
      <c r="BG35">
        <v>304</v>
      </c>
      <c r="BH35">
        <v>192</v>
      </c>
      <c r="BI35">
        <v>120</v>
      </c>
      <c r="BJ35">
        <v>156</v>
      </c>
      <c r="BK35">
        <v>112</v>
      </c>
      <c r="BL35">
        <v>152</v>
      </c>
      <c r="BM35">
        <v>164</v>
      </c>
      <c r="BN35">
        <v>116</v>
      </c>
    </row>
    <row r="36" spans="1:66" x14ac:dyDescent="0.3">
      <c r="A36" t="s">
        <v>57</v>
      </c>
      <c r="B36" s="35">
        <v>125.82857142857142</v>
      </c>
      <c r="C36" s="35">
        <v>1901.1428571428571</v>
      </c>
      <c r="D36" s="32">
        <f>Tabela2[[#This Row],[Média 8x8]]/MIN(Tabela2[Média 8x8]) - 1</f>
        <v>5.1575931232091587E-2</v>
      </c>
      <c r="E36" s="32">
        <f>Tabela2[[#This Row],[Média 16x16]]/MIN(Tabela2[Média 16x16]) - 1</f>
        <v>0.33883299798792765</v>
      </c>
      <c r="F36" s="19">
        <f>(Tabela2[[#This Row],[Perda 8x8]]+Tabela2[[#This Row],[Perda 16x16]])</f>
        <v>0.39040892922001924</v>
      </c>
      <c r="G36" s="3">
        <f>SUM(Tabela2[[#This Row],[Média 8x8]]+Tabela2[[#This Row],[Média 16x16]])</f>
        <v>2026.9714285714285</v>
      </c>
      <c r="J36"/>
      <c r="K36"/>
      <c r="Q36" t="s">
        <v>86</v>
      </c>
      <c r="R36">
        <v>116</v>
      </c>
      <c r="S36">
        <v>156</v>
      </c>
      <c r="T36">
        <v>116</v>
      </c>
      <c r="U36">
        <v>172</v>
      </c>
      <c r="V36">
        <v>120</v>
      </c>
      <c r="W36">
        <v>156</v>
      </c>
      <c r="X36">
        <v>160</v>
      </c>
      <c r="Y36">
        <v>160</v>
      </c>
      <c r="Z36">
        <v>176</v>
      </c>
      <c r="AA36">
        <v>196</v>
      </c>
      <c r="AB36">
        <v>152</v>
      </c>
      <c r="AC36">
        <v>192</v>
      </c>
      <c r="AD36">
        <v>280</v>
      </c>
      <c r="AE36">
        <v>308</v>
      </c>
      <c r="AF36">
        <v>136</v>
      </c>
      <c r="AG36">
        <v>132</v>
      </c>
      <c r="AH36">
        <v>160</v>
      </c>
      <c r="AI36">
        <v>244</v>
      </c>
      <c r="AJ36">
        <v>248</v>
      </c>
      <c r="AK36">
        <v>164</v>
      </c>
      <c r="AL36">
        <v>116</v>
      </c>
      <c r="AM36">
        <v>152</v>
      </c>
      <c r="AN36">
        <v>156</v>
      </c>
      <c r="AO36">
        <v>116</v>
      </c>
      <c r="AP36">
        <v>152</v>
      </c>
      <c r="AQ36">
        <v>148</v>
      </c>
      <c r="AR36">
        <v>156</v>
      </c>
      <c r="AS36">
        <v>188</v>
      </c>
      <c r="AT36">
        <v>196</v>
      </c>
      <c r="AU36">
        <v>220</v>
      </c>
      <c r="AV36">
        <v>300</v>
      </c>
      <c r="AW36">
        <v>120</v>
      </c>
      <c r="AX36">
        <v>124</v>
      </c>
      <c r="AY36">
        <v>160</v>
      </c>
      <c r="AZ36">
        <v>124</v>
      </c>
      <c r="BA36">
        <v>164</v>
      </c>
      <c r="BB36">
        <v>120</v>
      </c>
      <c r="BC36">
        <v>160</v>
      </c>
      <c r="BD36">
        <v>116</v>
      </c>
      <c r="BE36">
        <v>180</v>
      </c>
      <c r="BF36">
        <v>160</v>
      </c>
      <c r="BG36">
        <v>164</v>
      </c>
      <c r="BH36">
        <v>152</v>
      </c>
      <c r="BI36">
        <v>168</v>
      </c>
      <c r="BJ36">
        <v>196</v>
      </c>
      <c r="BK36">
        <v>188</v>
      </c>
      <c r="BL36">
        <v>336</v>
      </c>
      <c r="BM36">
        <v>120</v>
      </c>
      <c r="BN36">
        <v>116</v>
      </c>
    </row>
    <row r="37" spans="1:66" x14ac:dyDescent="0.3">
      <c r="A37" t="s">
        <v>86</v>
      </c>
      <c r="B37" s="35">
        <v>158.85714285714286</v>
      </c>
      <c r="C37" s="35">
        <v>1513.1428571428571</v>
      </c>
      <c r="D37" s="32">
        <f>Tabela2[[#This Row],[Média 8x8]]/MIN(Tabela2[Média 8x8]) - 1</f>
        <v>0.32760267430754531</v>
      </c>
      <c r="E37" s="32">
        <f>Tabela2[[#This Row],[Média 16x16]]/MIN(Tabela2[Média 16x16]) - 1</f>
        <v>6.5593561368209263E-2</v>
      </c>
      <c r="F37" s="19">
        <f>(Tabela2[[#This Row],[Perda 8x8]]+Tabela2[[#This Row],[Perda 16x16]])</f>
        <v>0.39319623567575457</v>
      </c>
      <c r="G37" s="3">
        <f>SUM(Tabela2[[#This Row],[Média 8x8]]+Tabela2[[#This Row],[Média 16x16]])</f>
        <v>1672</v>
      </c>
      <c r="J37"/>
      <c r="K37"/>
      <c r="Q37" t="s">
        <v>88</v>
      </c>
      <c r="R37">
        <v>160</v>
      </c>
      <c r="S37">
        <v>188</v>
      </c>
      <c r="T37">
        <v>232</v>
      </c>
      <c r="U37">
        <v>328</v>
      </c>
      <c r="V37">
        <v>112</v>
      </c>
      <c r="W37">
        <v>156</v>
      </c>
      <c r="X37">
        <v>124</v>
      </c>
      <c r="Y37">
        <v>152</v>
      </c>
      <c r="Z37">
        <v>180</v>
      </c>
      <c r="AA37">
        <v>164</v>
      </c>
      <c r="AB37">
        <v>156</v>
      </c>
      <c r="AC37">
        <v>232</v>
      </c>
      <c r="AD37">
        <v>200</v>
      </c>
      <c r="AE37">
        <v>268</v>
      </c>
      <c r="AF37">
        <v>312</v>
      </c>
      <c r="AG37">
        <v>120</v>
      </c>
      <c r="AH37">
        <v>168</v>
      </c>
      <c r="AI37">
        <v>172</v>
      </c>
      <c r="AJ37">
        <v>212</v>
      </c>
      <c r="AK37">
        <v>148</v>
      </c>
      <c r="AL37">
        <v>152</v>
      </c>
      <c r="AM37">
        <v>196</v>
      </c>
      <c r="AN37">
        <v>196</v>
      </c>
      <c r="AO37">
        <v>224</v>
      </c>
      <c r="AP37">
        <v>320</v>
      </c>
      <c r="AQ37">
        <v>120</v>
      </c>
      <c r="AR37">
        <v>168</v>
      </c>
      <c r="AS37">
        <v>152</v>
      </c>
      <c r="AT37">
        <v>156</v>
      </c>
      <c r="AU37">
        <v>176</v>
      </c>
      <c r="AV37">
        <v>164</v>
      </c>
      <c r="AW37">
        <v>268</v>
      </c>
      <c r="AX37">
        <v>188</v>
      </c>
      <c r="AY37">
        <v>260</v>
      </c>
      <c r="AZ37">
        <v>296</v>
      </c>
      <c r="BA37">
        <v>116</v>
      </c>
      <c r="BB37">
        <v>144</v>
      </c>
      <c r="BC37">
        <v>140</v>
      </c>
      <c r="BD37">
        <v>156</v>
      </c>
      <c r="BE37">
        <v>152</v>
      </c>
      <c r="BF37">
        <v>152</v>
      </c>
      <c r="BG37">
        <v>252</v>
      </c>
      <c r="BH37">
        <v>228</v>
      </c>
      <c r="BI37">
        <v>304</v>
      </c>
      <c r="BJ37">
        <v>120</v>
      </c>
      <c r="BK37">
        <v>164</v>
      </c>
      <c r="BL37">
        <v>156</v>
      </c>
      <c r="BM37">
        <v>352</v>
      </c>
      <c r="BN37">
        <v>160</v>
      </c>
    </row>
    <row r="38" spans="1:66" x14ac:dyDescent="0.3">
      <c r="A38" t="s">
        <v>113</v>
      </c>
      <c r="B38" s="35">
        <v>142.85714285714286</v>
      </c>
      <c r="C38" s="35">
        <v>1736.5714285714287</v>
      </c>
      <c r="D38" s="32">
        <f>Tabela2[[#This Row],[Média 8x8]]/MIN(Tabela2[Média 8x8]) - 1</f>
        <v>0.19388729703915963</v>
      </c>
      <c r="E38" s="32">
        <f>Tabela2[[#This Row],[Média 16x16]]/MIN(Tabela2[Média 16x16]) - 1</f>
        <v>0.22293762575452725</v>
      </c>
      <c r="F38" s="19">
        <f>(Tabela2[[#This Row],[Perda 8x8]]+Tabela2[[#This Row],[Perda 16x16]])</f>
        <v>0.41682492279368688</v>
      </c>
      <c r="G38" s="3">
        <f>SUM(Tabela2[[#This Row],[Média 8x8]]+Tabela2[[#This Row],[Média 16x16]])</f>
        <v>1879.4285714285716</v>
      </c>
      <c r="J38"/>
      <c r="K38"/>
      <c r="Q38" t="s">
        <v>89</v>
      </c>
      <c r="R38">
        <v>152</v>
      </c>
      <c r="S38">
        <v>148</v>
      </c>
      <c r="T38">
        <v>204</v>
      </c>
      <c r="U38">
        <v>204</v>
      </c>
      <c r="V38">
        <v>316</v>
      </c>
      <c r="W38">
        <v>296</v>
      </c>
      <c r="X38">
        <v>132</v>
      </c>
      <c r="Y38">
        <v>168</v>
      </c>
      <c r="Z38">
        <v>120</v>
      </c>
      <c r="AA38">
        <v>160</v>
      </c>
      <c r="AB38">
        <v>120</v>
      </c>
      <c r="AC38">
        <v>152</v>
      </c>
      <c r="AD38">
        <v>160</v>
      </c>
      <c r="AE38">
        <v>148</v>
      </c>
      <c r="AF38">
        <v>192</v>
      </c>
      <c r="AG38">
        <v>148</v>
      </c>
      <c r="AH38">
        <v>184</v>
      </c>
      <c r="AI38">
        <v>256</v>
      </c>
      <c r="AJ38">
        <v>296</v>
      </c>
      <c r="AK38">
        <v>112</v>
      </c>
      <c r="AL38">
        <v>152</v>
      </c>
      <c r="AM38">
        <v>116</v>
      </c>
      <c r="AN38">
        <v>156</v>
      </c>
      <c r="AO38">
        <v>120</v>
      </c>
      <c r="AP38">
        <v>160</v>
      </c>
      <c r="AQ38">
        <v>148</v>
      </c>
      <c r="AR38">
        <v>156</v>
      </c>
      <c r="AS38">
        <v>156</v>
      </c>
      <c r="AT38">
        <v>196</v>
      </c>
      <c r="AU38">
        <v>260</v>
      </c>
      <c r="AV38">
        <v>308</v>
      </c>
      <c r="AW38">
        <v>116</v>
      </c>
      <c r="AX38">
        <v>156</v>
      </c>
      <c r="AY38">
        <v>112</v>
      </c>
      <c r="AZ38">
        <v>144</v>
      </c>
      <c r="BA38">
        <v>156</v>
      </c>
      <c r="BB38">
        <v>112</v>
      </c>
      <c r="BC38">
        <v>148</v>
      </c>
      <c r="BD38">
        <v>160</v>
      </c>
      <c r="BE38">
        <v>244</v>
      </c>
      <c r="BF38">
        <v>216</v>
      </c>
      <c r="BG38">
        <v>252</v>
      </c>
      <c r="BH38">
        <v>304</v>
      </c>
      <c r="BI38">
        <v>128</v>
      </c>
      <c r="BJ38">
        <v>160</v>
      </c>
      <c r="BK38">
        <v>112</v>
      </c>
      <c r="BL38">
        <v>156</v>
      </c>
      <c r="BM38">
        <v>164</v>
      </c>
      <c r="BN38">
        <v>160</v>
      </c>
    </row>
    <row r="39" spans="1:66" x14ac:dyDescent="0.3">
      <c r="A39" t="s">
        <v>46</v>
      </c>
      <c r="B39" s="35">
        <v>124</v>
      </c>
      <c r="C39" s="35">
        <v>1978.8571428571429</v>
      </c>
      <c r="D39" s="32">
        <f>Tabela2[[#This Row],[Média 8x8]]/MIN(Tabela2[Média 8x8]) - 1</f>
        <v>3.629417382999045E-2</v>
      </c>
      <c r="E39" s="32">
        <f>Tabela2[[#This Row],[Média 16x16]]/MIN(Tabela2[Média 16x16]) - 1</f>
        <v>0.39356136820925558</v>
      </c>
      <c r="F39" s="19">
        <f>(Tabela2[[#This Row],[Perda 8x8]]+Tabela2[[#This Row],[Perda 16x16]])</f>
        <v>0.42985554203924603</v>
      </c>
      <c r="G39" s="3">
        <f>SUM(Tabela2[[#This Row],[Média 8x8]]+Tabela2[[#This Row],[Média 16x16]])</f>
        <v>2102.8571428571431</v>
      </c>
      <c r="I39" s="3"/>
      <c r="J39"/>
      <c r="K39"/>
      <c r="Q39" t="s">
        <v>91</v>
      </c>
      <c r="R39">
        <v>112</v>
      </c>
      <c r="S39">
        <v>152</v>
      </c>
      <c r="T39">
        <v>120</v>
      </c>
      <c r="U39">
        <v>188</v>
      </c>
      <c r="V39">
        <v>160</v>
      </c>
      <c r="W39">
        <v>148</v>
      </c>
      <c r="X39">
        <v>192</v>
      </c>
      <c r="Y39">
        <v>184</v>
      </c>
      <c r="Z39">
        <v>212</v>
      </c>
      <c r="AA39">
        <v>312</v>
      </c>
      <c r="AB39">
        <v>124</v>
      </c>
      <c r="AC39">
        <v>112</v>
      </c>
      <c r="AD39">
        <v>120</v>
      </c>
      <c r="AE39">
        <v>116</v>
      </c>
      <c r="AF39">
        <v>152</v>
      </c>
      <c r="AG39">
        <v>112</v>
      </c>
      <c r="AH39">
        <v>124</v>
      </c>
      <c r="AI39">
        <v>116</v>
      </c>
      <c r="AJ39">
        <v>152</v>
      </c>
      <c r="AK39">
        <v>120</v>
      </c>
      <c r="AL39">
        <v>120</v>
      </c>
      <c r="AM39">
        <v>168</v>
      </c>
      <c r="AN39">
        <v>124</v>
      </c>
      <c r="AO39">
        <v>128</v>
      </c>
      <c r="AP39">
        <v>172</v>
      </c>
      <c r="AQ39">
        <v>116</v>
      </c>
      <c r="AR39">
        <v>120</v>
      </c>
      <c r="AS39">
        <v>176</v>
      </c>
      <c r="AT39">
        <v>136</v>
      </c>
      <c r="AU39">
        <v>164</v>
      </c>
      <c r="AV39">
        <v>152</v>
      </c>
      <c r="AW39">
        <v>128</v>
      </c>
      <c r="AX39">
        <v>176</v>
      </c>
      <c r="AY39">
        <v>180</v>
      </c>
      <c r="AZ39">
        <v>144</v>
      </c>
      <c r="BA39">
        <v>180</v>
      </c>
      <c r="BB39">
        <v>176</v>
      </c>
      <c r="BC39">
        <v>276</v>
      </c>
      <c r="BD39">
        <v>292</v>
      </c>
      <c r="BE39">
        <v>116</v>
      </c>
      <c r="BF39">
        <v>120</v>
      </c>
      <c r="BG39">
        <v>112</v>
      </c>
      <c r="BH39">
        <v>128</v>
      </c>
      <c r="BI39">
        <v>172</v>
      </c>
      <c r="BJ39">
        <v>132</v>
      </c>
      <c r="BK39">
        <v>132</v>
      </c>
      <c r="BL39">
        <v>116</v>
      </c>
      <c r="BM39">
        <v>160</v>
      </c>
      <c r="BN39">
        <v>140</v>
      </c>
    </row>
    <row r="40" spans="1:66" x14ac:dyDescent="0.3">
      <c r="A40" t="s">
        <v>107</v>
      </c>
      <c r="B40" s="35">
        <v>132.68571428571428</v>
      </c>
      <c r="C40" s="35">
        <v>1881.1428571428571</v>
      </c>
      <c r="D40" s="32">
        <f>Tabela2[[#This Row],[Média 8x8]]/MIN(Tabela2[Média 8x8]) - 1</f>
        <v>0.10888252148997135</v>
      </c>
      <c r="E40" s="32">
        <f>Tabela2[[#This Row],[Média 16x16]]/MIN(Tabela2[Média 16x16]) - 1</f>
        <v>0.32474849094567393</v>
      </c>
      <c r="F40" s="19">
        <f>(Tabela2[[#This Row],[Perda 8x8]]+Tabela2[[#This Row],[Perda 16x16]])</f>
        <v>0.43363101243564528</v>
      </c>
      <c r="G40" s="3">
        <f>SUM(Tabela2[[#This Row],[Média 8x8]]+Tabela2[[#This Row],[Média 16x16]])</f>
        <v>2013.8285714285714</v>
      </c>
      <c r="I40" s="3"/>
      <c r="J40"/>
      <c r="K40"/>
      <c r="Q40" t="s">
        <v>93</v>
      </c>
      <c r="R40">
        <v>116</v>
      </c>
      <c r="S40">
        <v>144</v>
      </c>
      <c r="T40">
        <v>140</v>
      </c>
      <c r="U40">
        <v>168</v>
      </c>
      <c r="V40">
        <v>120</v>
      </c>
      <c r="W40">
        <v>124</v>
      </c>
      <c r="X40">
        <v>120</v>
      </c>
      <c r="Y40">
        <v>116</v>
      </c>
      <c r="Z40">
        <v>152</v>
      </c>
      <c r="AA40">
        <v>116</v>
      </c>
      <c r="AB40">
        <v>116</v>
      </c>
      <c r="AC40">
        <v>132</v>
      </c>
      <c r="AD40">
        <v>172</v>
      </c>
      <c r="AE40">
        <v>136</v>
      </c>
      <c r="AF40">
        <v>116</v>
      </c>
      <c r="AG40">
        <v>156</v>
      </c>
      <c r="AH40">
        <v>132</v>
      </c>
      <c r="AI40">
        <v>168</v>
      </c>
      <c r="AJ40">
        <v>120</v>
      </c>
      <c r="AK40">
        <v>152</v>
      </c>
      <c r="AL40">
        <v>120</v>
      </c>
      <c r="AM40">
        <v>148</v>
      </c>
      <c r="AN40">
        <v>120</v>
      </c>
      <c r="AO40">
        <v>172</v>
      </c>
      <c r="AP40">
        <v>148</v>
      </c>
      <c r="AQ40">
        <v>152</v>
      </c>
      <c r="AR40">
        <v>148</v>
      </c>
      <c r="AS40">
        <v>184</v>
      </c>
      <c r="AT40">
        <v>228</v>
      </c>
      <c r="AU40">
        <v>300</v>
      </c>
      <c r="AV40">
        <v>148</v>
      </c>
      <c r="AW40">
        <v>120</v>
      </c>
      <c r="AX40">
        <v>124</v>
      </c>
      <c r="AY40">
        <v>124</v>
      </c>
      <c r="AZ40">
        <v>160</v>
      </c>
      <c r="BA40">
        <v>116</v>
      </c>
      <c r="BB40">
        <v>120</v>
      </c>
      <c r="BC40">
        <v>120</v>
      </c>
      <c r="BD40">
        <v>156</v>
      </c>
      <c r="BE40">
        <v>116</v>
      </c>
      <c r="BF40">
        <v>120</v>
      </c>
      <c r="BG40">
        <v>112</v>
      </c>
      <c r="BH40">
        <v>152</v>
      </c>
      <c r="BI40">
        <v>132</v>
      </c>
      <c r="BJ40">
        <v>128</v>
      </c>
      <c r="BK40">
        <v>176</v>
      </c>
      <c r="BL40">
        <v>124</v>
      </c>
      <c r="BM40">
        <v>176</v>
      </c>
      <c r="BN40">
        <v>128</v>
      </c>
    </row>
    <row r="41" spans="1:66" x14ac:dyDescent="0.3">
      <c r="A41" t="s">
        <v>67</v>
      </c>
      <c r="B41" s="35">
        <v>128.11428571428573</v>
      </c>
      <c r="C41" s="35">
        <v>1942.2857142857142</v>
      </c>
      <c r="D41" s="32">
        <f>Tabela2[[#This Row],[Média 8x8]]/MIN(Tabela2[Média 8x8]) - 1</f>
        <v>7.0678127984718397E-2</v>
      </c>
      <c r="E41" s="32">
        <f>Tabela2[[#This Row],[Média 16x16]]/MIN(Tabela2[Média 16x16]) - 1</f>
        <v>0.36780684104627759</v>
      </c>
      <c r="F41" s="19">
        <f>(Tabela2[[#This Row],[Perda 8x8]]+Tabela2[[#This Row],[Perda 16x16]])</f>
        <v>0.43848496903099599</v>
      </c>
      <c r="G41" s="3">
        <f>SUM(Tabela2[[#This Row],[Média 8x8]]+Tabela2[[#This Row],[Média 16x16]])</f>
        <v>2070.4</v>
      </c>
      <c r="I41" s="32"/>
      <c r="J41"/>
      <c r="K41"/>
      <c r="Q41" t="s">
        <v>95</v>
      </c>
      <c r="R41">
        <v>232</v>
      </c>
      <c r="S41">
        <v>124</v>
      </c>
      <c r="T41">
        <v>148</v>
      </c>
      <c r="U41">
        <v>164</v>
      </c>
      <c r="V41">
        <v>140</v>
      </c>
      <c r="W41">
        <v>116</v>
      </c>
      <c r="X41">
        <v>136</v>
      </c>
      <c r="Y41">
        <v>152</v>
      </c>
      <c r="Z41">
        <v>148</v>
      </c>
      <c r="AA41">
        <v>148</v>
      </c>
      <c r="AB41">
        <v>148</v>
      </c>
      <c r="AC41">
        <v>168</v>
      </c>
      <c r="AD41">
        <v>220</v>
      </c>
      <c r="AE41">
        <v>244</v>
      </c>
      <c r="AF41">
        <v>124</v>
      </c>
      <c r="AG41">
        <v>148</v>
      </c>
      <c r="AH41">
        <v>152</v>
      </c>
      <c r="AI41">
        <v>172</v>
      </c>
      <c r="AJ41">
        <v>120</v>
      </c>
      <c r="AK41">
        <v>192</v>
      </c>
      <c r="AL41">
        <v>144</v>
      </c>
      <c r="AM41">
        <v>140</v>
      </c>
      <c r="AN41">
        <v>144</v>
      </c>
      <c r="AO41">
        <v>156</v>
      </c>
      <c r="AP41">
        <v>160</v>
      </c>
      <c r="AQ41">
        <v>228</v>
      </c>
      <c r="AR41">
        <v>120</v>
      </c>
      <c r="AS41">
        <v>180</v>
      </c>
      <c r="AT41">
        <v>128</v>
      </c>
      <c r="AU41">
        <v>148</v>
      </c>
      <c r="AV41">
        <v>136</v>
      </c>
      <c r="AW41">
        <v>116</v>
      </c>
      <c r="AX41">
        <v>136</v>
      </c>
      <c r="AY41">
        <v>144</v>
      </c>
      <c r="AZ41">
        <v>176</v>
      </c>
      <c r="BA41">
        <v>180</v>
      </c>
      <c r="BB41">
        <v>204</v>
      </c>
      <c r="BC41">
        <v>228</v>
      </c>
      <c r="BD41">
        <v>116</v>
      </c>
      <c r="BE41">
        <v>168</v>
      </c>
      <c r="BF41">
        <v>116</v>
      </c>
      <c r="BG41">
        <v>136</v>
      </c>
      <c r="BH41">
        <v>140</v>
      </c>
      <c r="BI41">
        <v>144</v>
      </c>
      <c r="BJ41">
        <v>152</v>
      </c>
      <c r="BK41">
        <v>148</v>
      </c>
      <c r="BL41">
        <v>180</v>
      </c>
      <c r="BM41">
        <v>252</v>
      </c>
      <c r="BN41">
        <v>228</v>
      </c>
    </row>
    <row r="42" spans="1:66" x14ac:dyDescent="0.3">
      <c r="A42" t="s">
        <v>82</v>
      </c>
      <c r="B42" s="35">
        <v>129.71428571428572</v>
      </c>
      <c r="C42" s="35">
        <v>1930.2857142857142</v>
      </c>
      <c r="D42" s="32">
        <f>Tabela2[[#This Row],[Média 8x8]]/MIN(Tabela2[Média 8x8]) - 1</f>
        <v>8.4049665711556809E-2</v>
      </c>
      <c r="E42" s="32">
        <f>Tabela2[[#This Row],[Média 16x16]]/MIN(Tabela2[Média 16x16]) - 1</f>
        <v>0.35935613682092549</v>
      </c>
      <c r="F42" s="19">
        <f>(Tabela2[[#This Row],[Perda 8x8]]+Tabela2[[#This Row],[Perda 16x16]])</f>
        <v>0.4434058025324823</v>
      </c>
      <c r="G42" s="3">
        <f>SUM(Tabela2[[#This Row],[Média 8x8]]+Tabela2[[#This Row],[Média 16x16]])</f>
        <v>2060</v>
      </c>
      <c r="J42"/>
      <c r="K42"/>
      <c r="Q42" t="s">
        <v>97</v>
      </c>
      <c r="R42">
        <v>148</v>
      </c>
      <c r="S42">
        <v>144</v>
      </c>
      <c r="T42">
        <v>148</v>
      </c>
      <c r="U42">
        <v>140</v>
      </c>
      <c r="V42">
        <v>172</v>
      </c>
      <c r="W42">
        <v>160</v>
      </c>
      <c r="X42">
        <v>220</v>
      </c>
      <c r="Y42">
        <v>228</v>
      </c>
      <c r="Z42">
        <v>120</v>
      </c>
      <c r="AA42">
        <v>140</v>
      </c>
      <c r="AB42">
        <v>140</v>
      </c>
      <c r="AC42">
        <v>120</v>
      </c>
      <c r="AD42">
        <v>144</v>
      </c>
      <c r="AE42">
        <v>116</v>
      </c>
      <c r="AF42">
        <v>136</v>
      </c>
      <c r="AG42">
        <v>136</v>
      </c>
      <c r="AH42">
        <v>124</v>
      </c>
      <c r="AI42">
        <v>148</v>
      </c>
      <c r="AJ42">
        <v>144</v>
      </c>
      <c r="AK42">
        <v>168</v>
      </c>
      <c r="AL42">
        <v>160</v>
      </c>
      <c r="AM42">
        <v>176</v>
      </c>
      <c r="AN42">
        <v>212</v>
      </c>
      <c r="AO42">
        <v>120</v>
      </c>
      <c r="AP42">
        <v>128</v>
      </c>
      <c r="AQ42">
        <v>144</v>
      </c>
      <c r="AR42">
        <v>120</v>
      </c>
      <c r="AS42">
        <v>144</v>
      </c>
      <c r="AT42">
        <v>120</v>
      </c>
      <c r="AU42">
        <v>160</v>
      </c>
      <c r="AV42">
        <v>136</v>
      </c>
      <c r="AW42">
        <v>140</v>
      </c>
      <c r="AX42">
        <v>140</v>
      </c>
      <c r="AY42">
        <v>148</v>
      </c>
      <c r="AZ42">
        <v>160</v>
      </c>
      <c r="BA42">
        <v>160</v>
      </c>
      <c r="BB42">
        <v>248</v>
      </c>
      <c r="BC42">
        <v>108</v>
      </c>
      <c r="BD42">
        <v>120</v>
      </c>
      <c r="BE42">
        <v>136</v>
      </c>
      <c r="BF42">
        <v>116</v>
      </c>
      <c r="BG42">
        <v>136</v>
      </c>
      <c r="BH42">
        <v>136</v>
      </c>
      <c r="BI42">
        <v>120</v>
      </c>
      <c r="BJ42">
        <v>148</v>
      </c>
      <c r="BK42">
        <v>136</v>
      </c>
      <c r="BL42">
        <v>168</v>
      </c>
      <c r="BM42">
        <v>172</v>
      </c>
      <c r="BN42">
        <v>176</v>
      </c>
    </row>
    <row r="43" spans="1:66" x14ac:dyDescent="0.3">
      <c r="A43" t="s">
        <v>78</v>
      </c>
      <c r="B43" s="35">
        <v>129.48571428571429</v>
      </c>
      <c r="C43" s="35">
        <v>1945.1428571428571</v>
      </c>
      <c r="D43" s="32">
        <f>Tabela2[[#This Row],[Média 8x8]]/MIN(Tabela2[Média 8x8]) - 1</f>
        <v>8.2139446036294306E-2</v>
      </c>
      <c r="E43" s="32">
        <f>Tabela2[[#This Row],[Média 16x16]]/MIN(Tabela2[Média 16x16]) - 1</f>
        <v>0.36981891348088536</v>
      </c>
      <c r="F43" s="19">
        <f>(Tabela2[[#This Row],[Perda 8x8]]+Tabela2[[#This Row],[Perda 16x16]])</f>
        <v>0.45195835951717966</v>
      </c>
      <c r="G43" s="3">
        <f>SUM(Tabela2[[#This Row],[Média 8x8]]+Tabela2[[#This Row],[Média 16x16]])</f>
        <v>2074.6285714285714</v>
      </c>
      <c r="J43"/>
      <c r="K43"/>
      <c r="Q43" t="s">
        <v>99</v>
      </c>
      <c r="R43">
        <v>188</v>
      </c>
      <c r="S43">
        <v>192</v>
      </c>
      <c r="T43">
        <v>120</v>
      </c>
      <c r="U43">
        <v>168</v>
      </c>
      <c r="V43">
        <v>200</v>
      </c>
      <c r="W43">
        <v>224</v>
      </c>
      <c r="X43">
        <v>160</v>
      </c>
      <c r="Y43">
        <v>184</v>
      </c>
      <c r="Z43">
        <v>244</v>
      </c>
      <c r="AA43">
        <v>124</v>
      </c>
      <c r="AB43">
        <v>140</v>
      </c>
      <c r="AC43">
        <v>144</v>
      </c>
      <c r="AD43">
        <v>120</v>
      </c>
      <c r="AE43">
        <v>128</v>
      </c>
      <c r="AF43">
        <v>132</v>
      </c>
      <c r="AG43">
        <v>108</v>
      </c>
      <c r="AH43">
        <v>136</v>
      </c>
      <c r="AI43">
        <v>124</v>
      </c>
      <c r="AJ43">
        <v>148</v>
      </c>
      <c r="AK43">
        <v>144</v>
      </c>
      <c r="AL43">
        <v>148</v>
      </c>
      <c r="AM43">
        <v>148</v>
      </c>
      <c r="AN43">
        <v>148</v>
      </c>
      <c r="AO43">
        <v>172</v>
      </c>
      <c r="AP43">
        <v>176</v>
      </c>
      <c r="AQ43">
        <v>228</v>
      </c>
      <c r="AR43">
        <v>120</v>
      </c>
      <c r="AS43">
        <v>116</v>
      </c>
      <c r="AT43">
        <v>148</v>
      </c>
      <c r="AU43">
        <v>120</v>
      </c>
      <c r="AV43">
        <v>148</v>
      </c>
      <c r="AW43">
        <v>120</v>
      </c>
      <c r="AX43">
        <v>144</v>
      </c>
      <c r="AY43">
        <v>124</v>
      </c>
      <c r="AZ43">
        <v>148</v>
      </c>
      <c r="BA43">
        <v>144</v>
      </c>
      <c r="BB43">
        <v>136</v>
      </c>
      <c r="BC43">
        <v>148</v>
      </c>
      <c r="BD43">
        <v>148</v>
      </c>
      <c r="BE43">
        <v>172</v>
      </c>
      <c r="BF43">
        <v>180</v>
      </c>
      <c r="BG43">
        <v>260</v>
      </c>
      <c r="BH43">
        <v>116</v>
      </c>
      <c r="BI43">
        <v>128</v>
      </c>
      <c r="BJ43">
        <v>152</v>
      </c>
      <c r="BK43">
        <v>124</v>
      </c>
      <c r="BL43">
        <v>152</v>
      </c>
      <c r="BM43">
        <v>128</v>
      </c>
      <c r="BN43">
        <v>152</v>
      </c>
    </row>
    <row r="44" spans="1:66" x14ac:dyDescent="0.3">
      <c r="A44" t="s">
        <v>100</v>
      </c>
      <c r="B44" s="35">
        <v>132</v>
      </c>
      <c r="C44" s="35">
        <v>1924.5714285714287</v>
      </c>
      <c r="D44" s="32">
        <f>Tabela2[[#This Row],[Média 8x8]]/MIN(Tabela2[Média 8x8]) - 1</f>
        <v>0.1031518624641834</v>
      </c>
      <c r="E44" s="32">
        <f>Tabela2[[#This Row],[Média 16x16]]/MIN(Tabela2[Média 16x16]) - 1</f>
        <v>0.35533199195171039</v>
      </c>
      <c r="F44" s="19">
        <f>(Tabela2[[#This Row],[Perda 8x8]]+Tabela2[[#This Row],[Perda 16x16]])</f>
        <v>0.45848385441589379</v>
      </c>
      <c r="G44" s="3">
        <f>SUM(Tabela2[[#This Row],[Média 8x8]]+Tabela2[[#This Row],[Média 16x16]])</f>
        <v>2056.5714285714284</v>
      </c>
      <c r="J44"/>
      <c r="K44"/>
      <c r="Q44" t="s">
        <v>101</v>
      </c>
      <c r="R44">
        <v>196</v>
      </c>
      <c r="S44">
        <v>228</v>
      </c>
      <c r="T44">
        <v>120</v>
      </c>
      <c r="U44">
        <v>124</v>
      </c>
      <c r="V44">
        <v>116</v>
      </c>
      <c r="W44">
        <v>176</v>
      </c>
      <c r="X44">
        <v>132</v>
      </c>
      <c r="Y44">
        <v>152</v>
      </c>
      <c r="Z44">
        <v>120</v>
      </c>
      <c r="AA44">
        <v>124</v>
      </c>
      <c r="AB44">
        <v>144</v>
      </c>
      <c r="AC44">
        <v>132</v>
      </c>
      <c r="AD44">
        <v>156</v>
      </c>
      <c r="AE44">
        <v>128</v>
      </c>
      <c r="AF44">
        <v>152</v>
      </c>
      <c r="AG44">
        <v>132</v>
      </c>
      <c r="AH44">
        <v>140</v>
      </c>
      <c r="AI44">
        <v>132</v>
      </c>
      <c r="AJ44">
        <v>124</v>
      </c>
      <c r="AK44">
        <v>144</v>
      </c>
      <c r="AL44">
        <v>208</v>
      </c>
      <c r="AM44">
        <v>216</v>
      </c>
      <c r="AN44">
        <v>128</v>
      </c>
      <c r="AO44">
        <v>120</v>
      </c>
      <c r="AP44">
        <v>140</v>
      </c>
      <c r="AQ44">
        <v>120</v>
      </c>
      <c r="AR44">
        <v>108</v>
      </c>
      <c r="AS44">
        <v>144</v>
      </c>
      <c r="AT44">
        <v>116</v>
      </c>
      <c r="AU44">
        <v>148</v>
      </c>
      <c r="AV44">
        <v>128</v>
      </c>
      <c r="AW44">
        <v>136</v>
      </c>
      <c r="AX44">
        <v>116</v>
      </c>
      <c r="AY44">
        <v>136</v>
      </c>
      <c r="AZ44">
        <v>148</v>
      </c>
      <c r="BA44">
        <v>152</v>
      </c>
      <c r="BB44">
        <v>136</v>
      </c>
      <c r="BC44">
        <v>136</v>
      </c>
      <c r="BD44">
        <v>160</v>
      </c>
      <c r="BE44">
        <v>212</v>
      </c>
      <c r="BF44">
        <v>224</v>
      </c>
      <c r="BG44">
        <v>132</v>
      </c>
      <c r="BH44">
        <v>112</v>
      </c>
      <c r="BI44">
        <v>120</v>
      </c>
      <c r="BJ44">
        <v>116</v>
      </c>
      <c r="BK44">
        <v>124</v>
      </c>
      <c r="BL44">
        <v>152</v>
      </c>
      <c r="BM44">
        <v>144</v>
      </c>
      <c r="BN44">
        <v>140</v>
      </c>
    </row>
    <row r="45" spans="1:66" x14ac:dyDescent="0.3">
      <c r="A45" t="s">
        <v>76</v>
      </c>
      <c r="B45" s="35">
        <v>128.57142857142858</v>
      </c>
      <c r="C45" s="35">
        <v>1972.5714285714287</v>
      </c>
      <c r="D45" s="32">
        <f>Tabela2[[#This Row],[Média 8x8]]/MIN(Tabela2[Média 8x8]) - 1</f>
        <v>7.4498567335243626E-2</v>
      </c>
      <c r="E45" s="32">
        <f>Tabela2[[#This Row],[Média 16x16]]/MIN(Tabela2[Média 16x16]) - 1</f>
        <v>0.3891348088531188</v>
      </c>
      <c r="F45" s="19">
        <f>(Tabela2[[#This Row],[Perda 8x8]]+Tabela2[[#This Row],[Perda 16x16]])</f>
        <v>0.46363337618836242</v>
      </c>
      <c r="G45" s="3">
        <f>SUM(Tabela2[[#This Row],[Média 8x8]]+Tabela2[[#This Row],[Média 16x16]])</f>
        <v>2101.1428571428573</v>
      </c>
      <c r="J45"/>
      <c r="K45"/>
      <c r="Q45" t="s">
        <v>103</v>
      </c>
      <c r="R45">
        <v>148</v>
      </c>
      <c r="S45">
        <v>140</v>
      </c>
      <c r="T45">
        <v>124</v>
      </c>
      <c r="U45">
        <v>148</v>
      </c>
      <c r="V45">
        <v>168</v>
      </c>
      <c r="W45">
        <v>228</v>
      </c>
      <c r="X45">
        <v>244</v>
      </c>
      <c r="Y45">
        <v>116</v>
      </c>
      <c r="Z45">
        <v>140</v>
      </c>
      <c r="AA45">
        <v>140</v>
      </c>
      <c r="AB45">
        <v>140</v>
      </c>
      <c r="AC45">
        <v>140</v>
      </c>
      <c r="AD45">
        <v>168</v>
      </c>
      <c r="AE45">
        <v>188</v>
      </c>
      <c r="AF45">
        <v>236</v>
      </c>
      <c r="AG45">
        <v>116</v>
      </c>
      <c r="AH45">
        <v>148</v>
      </c>
      <c r="AI45">
        <v>136</v>
      </c>
      <c r="AJ45">
        <v>140</v>
      </c>
      <c r="AK45">
        <v>164</v>
      </c>
      <c r="AL45">
        <v>192</v>
      </c>
      <c r="AM45">
        <v>208</v>
      </c>
      <c r="AN45">
        <v>228</v>
      </c>
      <c r="AO45">
        <v>140</v>
      </c>
      <c r="AP45">
        <v>132</v>
      </c>
      <c r="AQ45">
        <v>132</v>
      </c>
      <c r="AR45">
        <v>144</v>
      </c>
      <c r="AS45">
        <v>176</v>
      </c>
      <c r="AT45">
        <v>204</v>
      </c>
      <c r="AU45">
        <v>256</v>
      </c>
      <c r="AV45">
        <v>116</v>
      </c>
      <c r="AW45">
        <v>144</v>
      </c>
      <c r="AX45">
        <v>136</v>
      </c>
      <c r="AY45">
        <v>168</v>
      </c>
      <c r="AZ45">
        <v>156</v>
      </c>
      <c r="BA45">
        <v>184</v>
      </c>
      <c r="BB45">
        <v>232</v>
      </c>
      <c r="BC45">
        <v>140</v>
      </c>
      <c r="BD45">
        <v>144</v>
      </c>
      <c r="BE45">
        <v>152</v>
      </c>
      <c r="BF45">
        <v>164</v>
      </c>
      <c r="BG45">
        <v>172</v>
      </c>
      <c r="BH45">
        <v>232</v>
      </c>
      <c r="BI45">
        <v>228</v>
      </c>
      <c r="BJ45">
        <v>132</v>
      </c>
      <c r="BK45">
        <v>148</v>
      </c>
      <c r="BL45">
        <v>124</v>
      </c>
      <c r="BM45">
        <v>156</v>
      </c>
      <c r="BN45">
        <v>184</v>
      </c>
    </row>
    <row r="46" spans="1:66" x14ac:dyDescent="0.3">
      <c r="A46" t="s">
        <v>96</v>
      </c>
      <c r="B46" s="35">
        <v>131.88571428571427</v>
      </c>
      <c r="C46" s="35">
        <v>1936.5714285714287</v>
      </c>
      <c r="D46" s="32">
        <f>Tabela2[[#This Row],[Média 8x8]]/MIN(Tabela2[Média 8x8]) - 1</f>
        <v>0.10219675262655192</v>
      </c>
      <c r="E46" s="32">
        <f>Tabela2[[#This Row],[Média 16x16]]/MIN(Tabela2[Média 16x16]) - 1</f>
        <v>0.36378269617706249</v>
      </c>
      <c r="F46" s="19">
        <f>(Tabela2[[#This Row],[Perda 8x8]]+Tabela2[[#This Row],[Perda 16x16]])</f>
        <v>0.46597944880361442</v>
      </c>
      <c r="G46" s="3">
        <f>SUM(Tabela2[[#This Row],[Média 8x8]]+Tabela2[[#This Row],[Média 16x16]])</f>
        <v>2068.457142857143</v>
      </c>
      <c r="J46"/>
      <c r="K46"/>
      <c r="Q46" t="s">
        <v>104</v>
      </c>
      <c r="R46">
        <v>140</v>
      </c>
      <c r="S46">
        <v>116</v>
      </c>
      <c r="T46">
        <v>136</v>
      </c>
      <c r="U46">
        <v>136</v>
      </c>
      <c r="V46">
        <v>140</v>
      </c>
      <c r="W46">
        <v>136</v>
      </c>
      <c r="X46">
        <v>164</v>
      </c>
      <c r="Y46">
        <v>172</v>
      </c>
      <c r="Z46">
        <v>216</v>
      </c>
      <c r="AA46">
        <v>252</v>
      </c>
      <c r="AB46">
        <v>124</v>
      </c>
      <c r="AC46">
        <v>164</v>
      </c>
      <c r="AD46">
        <v>120</v>
      </c>
      <c r="AE46">
        <v>132</v>
      </c>
      <c r="AF46">
        <v>132</v>
      </c>
      <c r="AG46">
        <v>140</v>
      </c>
      <c r="AH46">
        <v>136</v>
      </c>
      <c r="AI46">
        <v>156</v>
      </c>
      <c r="AJ46">
        <v>180</v>
      </c>
      <c r="AK46">
        <v>224</v>
      </c>
      <c r="AL46">
        <v>124</v>
      </c>
      <c r="AM46">
        <v>148</v>
      </c>
      <c r="AN46">
        <v>156</v>
      </c>
      <c r="AO46">
        <v>136</v>
      </c>
      <c r="AP46">
        <v>148</v>
      </c>
      <c r="AQ46">
        <v>176</v>
      </c>
      <c r="AR46">
        <v>196</v>
      </c>
      <c r="AS46">
        <v>168</v>
      </c>
      <c r="AT46">
        <v>208</v>
      </c>
      <c r="AU46">
        <v>244</v>
      </c>
      <c r="AV46">
        <v>116</v>
      </c>
      <c r="AW46">
        <v>136</v>
      </c>
      <c r="AX46">
        <v>148</v>
      </c>
      <c r="AY46">
        <v>148</v>
      </c>
      <c r="AZ46">
        <v>148</v>
      </c>
      <c r="BA46">
        <v>140</v>
      </c>
      <c r="BB46">
        <v>168</v>
      </c>
      <c r="BC46">
        <v>152</v>
      </c>
      <c r="BD46">
        <v>248</v>
      </c>
      <c r="BE46">
        <v>120</v>
      </c>
      <c r="BF46">
        <v>144</v>
      </c>
      <c r="BG46">
        <v>132</v>
      </c>
      <c r="BH46">
        <v>136</v>
      </c>
      <c r="BI46">
        <v>148</v>
      </c>
      <c r="BJ46">
        <v>140</v>
      </c>
      <c r="BK46">
        <v>152</v>
      </c>
      <c r="BL46">
        <v>196</v>
      </c>
      <c r="BM46">
        <v>228</v>
      </c>
      <c r="BN46">
        <v>116</v>
      </c>
    </row>
    <row r="47" spans="1:66" x14ac:dyDescent="0.3">
      <c r="A47" t="s">
        <v>95</v>
      </c>
      <c r="B47" s="35">
        <v>153.82857142857142</v>
      </c>
      <c r="C47" s="35">
        <v>1702.2857142857142</v>
      </c>
      <c r="D47" s="32">
        <f>Tabela2[[#This Row],[Média 8x8]]/MIN(Tabela2[Média 8x8]) - 1</f>
        <v>0.2855778414517669</v>
      </c>
      <c r="E47" s="32">
        <f>Tabela2[[#This Row],[Média 16x16]]/MIN(Tabela2[Média 16x16]) - 1</f>
        <v>0.19879275653923534</v>
      </c>
      <c r="F47" s="19">
        <f>(Tabela2[[#This Row],[Perda 8x8]]+Tabela2[[#This Row],[Perda 16x16]])</f>
        <v>0.48437059799100224</v>
      </c>
      <c r="G47" s="3">
        <f>SUM(Tabela2[[#This Row],[Média 8x8]]+Tabela2[[#This Row],[Média 16x16]])</f>
        <v>1856.1142857142856</v>
      </c>
      <c r="J47"/>
      <c r="K47"/>
      <c r="Q47" t="s">
        <v>106</v>
      </c>
      <c r="R47">
        <v>232</v>
      </c>
      <c r="S47">
        <v>236</v>
      </c>
      <c r="T47">
        <v>164</v>
      </c>
      <c r="U47">
        <v>164</v>
      </c>
      <c r="V47">
        <v>232</v>
      </c>
      <c r="W47">
        <v>272</v>
      </c>
      <c r="X47">
        <v>156</v>
      </c>
      <c r="Y47">
        <v>208</v>
      </c>
      <c r="Z47">
        <v>224</v>
      </c>
      <c r="AA47">
        <v>164</v>
      </c>
      <c r="AB47">
        <v>180</v>
      </c>
      <c r="AC47">
        <v>236</v>
      </c>
      <c r="AD47">
        <v>172</v>
      </c>
      <c r="AE47">
        <v>184</v>
      </c>
      <c r="AF47">
        <v>264</v>
      </c>
      <c r="AG47">
        <v>176</v>
      </c>
      <c r="AH47">
        <v>220</v>
      </c>
      <c r="AI47">
        <v>228</v>
      </c>
      <c r="AJ47">
        <v>168</v>
      </c>
      <c r="AK47">
        <v>240</v>
      </c>
      <c r="AL47">
        <v>232</v>
      </c>
      <c r="AM47">
        <v>204</v>
      </c>
      <c r="AN47">
        <v>248</v>
      </c>
      <c r="AO47">
        <v>156</v>
      </c>
      <c r="AP47">
        <v>400</v>
      </c>
      <c r="AQ47">
        <v>140</v>
      </c>
      <c r="AR47">
        <v>132</v>
      </c>
      <c r="AS47">
        <v>132</v>
      </c>
      <c r="AT47">
        <v>128</v>
      </c>
      <c r="AU47">
        <v>124</v>
      </c>
      <c r="AV47">
        <v>116</v>
      </c>
      <c r="AW47">
        <v>120</v>
      </c>
      <c r="AX47">
        <v>116</v>
      </c>
      <c r="AY47">
        <v>108</v>
      </c>
      <c r="AZ47">
        <v>116</v>
      </c>
      <c r="BA47">
        <v>116</v>
      </c>
      <c r="BB47">
        <v>120</v>
      </c>
      <c r="BC47">
        <v>168</v>
      </c>
      <c r="BD47">
        <v>112</v>
      </c>
      <c r="BE47">
        <v>124</v>
      </c>
      <c r="BF47">
        <v>136</v>
      </c>
      <c r="BG47">
        <v>136</v>
      </c>
      <c r="BH47">
        <v>140</v>
      </c>
      <c r="BI47">
        <v>136</v>
      </c>
      <c r="BJ47">
        <v>140</v>
      </c>
      <c r="BK47">
        <v>136</v>
      </c>
      <c r="BL47">
        <v>116</v>
      </c>
      <c r="BM47">
        <v>168</v>
      </c>
      <c r="BN47">
        <v>128</v>
      </c>
    </row>
    <row r="48" spans="1:66" x14ac:dyDescent="0.3">
      <c r="A48" t="s">
        <v>50</v>
      </c>
      <c r="B48" s="35">
        <v>124.11428571428571</v>
      </c>
      <c r="C48" s="35">
        <v>2070.2857142857142</v>
      </c>
      <c r="D48" s="32">
        <f>Tabela2[[#This Row],[Média 8x8]]/MIN(Tabela2[Média 8x8]) - 1</f>
        <v>3.7249283667621702E-2</v>
      </c>
      <c r="E48" s="32">
        <f>Tabela2[[#This Row],[Média 16x16]]/MIN(Tabela2[Média 16x16]) - 1</f>
        <v>0.45794768611670023</v>
      </c>
      <c r="F48" s="19">
        <f>(Tabela2[[#This Row],[Perda 8x8]]+Tabela2[[#This Row],[Perda 16x16]])</f>
        <v>0.49519696978432193</v>
      </c>
      <c r="G48" s="3">
        <f>SUM(Tabela2[[#This Row],[Média 8x8]]+Tabela2[[#This Row],[Média 16x16]])</f>
        <v>2194.4</v>
      </c>
      <c r="J48"/>
      <c r="K48"/>
      <c r="Q48" t="s">
        <v>108</v>
      </c>
      <c r="R48">
        <v>136</v>
      </c>
      <c r="S48">
        <v>140</v>
      </c>
      <c r="T48">
        <v>144</v>
      </c>
      <c r="U48">
        <v>164</v>
      </c>
      <c r="V48">
        <v>180</v>
      </c>
      <c r="W48">
        <v>232</v>
      </c>
      <c r="X48">
        <v>136</v>
      </c>
      <c r="Y48">
        <v>140</v>
      </c>
      <c r="Z48">
        <v>164</v>
      </c>
      <c r="AA48">
        <v>164</v>
      </c>
      <c r="AB48">
        <v>208</v>
      </c>
      <c r="AC48">
        <v>228</v>
      </c>
      <c r="AD48">
        <v>128</v>
      </c>
      <c r="AE48">
        <v>120</v>
      </c>
      <c r="AF48">
        <v>164</v>
      </c>
      <c r="AG48">
        <v>160</v>
      </c>
      <c r="AH48">
        <v>252</v>
      </c>
      <c r="AI48">
        <v>140</v>
      </c>
      <c r="AJ48">
        <v>124</v>
      </c>
      <c r="AK48">
        <v>184</v>
      </c>
      <c r="AL48">
        <v>196</v>
      </c>
      <c r="AM48">
        <v>228</v>
      </c>
      <c r="AN48">
        <v>128</v>
      </c>
      <c r="AO48">
        <v>124</v>
      </c>
      <c r="AP48">
        <v>152</v>
      </c>
      <c r="AQ48">
        <v>184</v>
      </c>
      <c r="AR48">
        <v>232</v>
      </c>
      <c r="AS48">
        <v>132</v>
      </c>
      <c r="AT48">
        <v>156</v>
      </c>
      <c r="AU48">
        <v>152</v>
      </c>
      <c r="AV48">
        <v>216</v>
      </c>
      <c r="AW48">
        <v>232</v>
      </c>
      <c r="AX48">
        <v>140</v>
      </c>
      <c r="AY48">
        <v>160</v>
      </c>
      <c r="AZ48">
        <v>168</v>
      </c>
      <c r="BA48">
        <v>240</v>
      </c>
      <c r="BB48">
        <v>140</v>
      </c>
      <c r="BC48">
        <v>168</v>
      </c>
      <c r="BD48">
        <v>184</v>
      </c>
      <c r="BE48">
        <v>228</v>
      </c>
      <c r="BF48">
        <v>156</v>
      </c>
      <c r="BG48">
        <v>192</v>
      </c>
      <c r="BH48">
        <v>228</v>
      </c>
      <c r="BI48">
        <v>264</v>
      </c>
      <c r="BJ48">
        <v>152</v>
      </c>
      <c r="BK48">
        <v>168</v>
      </c>
      <c r="BL48">
        <v>216</v>
      </c>
      <c r="BM48">
        <v>236</v>
      </c>
      <c r="BN48">
        <v>136</v>
      </c>
    </row>
    <row r="49" spans="1:66" x14ac:dyDescent="0.3">
      <c r="A49" t="s">
        <v>69</v>
      </c>
      <c r="B49" s="35">
        <v>138.97142857142856</v>
      </c>
      <c r="C49" s="35">
        <v>1894.8571428571429</v>
      </c>
      <c r="D49" s="32">
        <f>Tabela2[[#This Row],[Média 8x8]]/MIN(Tabela2[Média 8x8]) - 1</f>
        <v>0.16141356255969419</v>
      </c>
      <c r="E49" s="32">
        <f>Tabela2[[#This Row],[Média 16x16]]/MIN(Tabela2[Média 16x16]) - 1</f>
        <v>0.33440643863179087</v>
      </c>
      <c r="F49" s="19">
        <f>(Tabela2[[#This Row],[Perda 8x8]]+Tabela2[[#This Row],[Perda 16x16]])</f>
        <v>0.49582000119148506</v>
      </c>
      <c r="G49" s="3">
        <f>SUM(Tabela2[[#This Row],[Média 8x8]]+Tabela2[[#This Row],[Média 16x16]])</f>
        <v>2033.8285714285714</v>
      </c>
      <c r="J49"/>
      <c r="K49"/>
      <c r="Q49" t="s">
        <v>100</v>
      </c>
      <c r="R49">
        <v>124</v>
      </c>
      <c r="S49">
        <v>116</v>
      </c>
      <c r="T49">
        <v>116</v>
      </c>
      <c r="U49">
        <v>160</v>
      </c>
      <c r="V49">
        <v>132</v>
      </c>
      <c r="W49">
        <v>108</v>
      </c>
      <c r="X49">
        <v>120</v>
      </c>
      <c r="Y49">
        <v>124</v>
      </c>
      <c r="Z49">
        <v>164</v>
      </c>
      <c r="AA49">
        <v>112</v>
      </c>
      <c r="AB49">
        <v>144</v>
      </c>
      <c r="AC49">
        <v>148</v>
      </c>
      <c r="AD49">
        <v>124</v>
      </c>
      <c r="AE49">
        <v>120</v>
      </c>
      <c r="AF49">
        <v>160</v>
      </c>
      <c r="AG49">
        <v>144</v>
      </c>
      <c r="AH49">
        <v>136</v>
      </c>
      <c r="AI49">
        <v>156</v>
      </c>
      <c r="AJ49">
        <v>116</v>
      </c>
      <c r="AK49">
        <v>172</v>
      </c>
      <c r="AL49">
        <v>152</v>
      </c>
      <c r="AM49">
        <v>116</v>
      </c>
      <c r="AN49">
        <v>148</v>
      </c>
      <c r="AO49">
        <v>148</v>
      </c>
      <c r="AP49">
        <v>128</v>
      </c>
      <c r="AQ49">
        <v>184</v>
      </c>
      <c r="AR49">
        <v>176</v>
      </c>
      <c r="AS49">
        <v>244</v>
      </c>
      <c r="AT49">
        <v>284</v>
      </c>
      <c r="AU49">
        <v>112</v>
      </c>
      <c r="AV49">
        <v>116</v>
      </c>
      <c r="AW49">
        <v>104</v>
      </c>
      <c r="AX49">
        <v>104</v>
      </c>
      <c r="AY49">
        <v>128</v>
      </c>
      <c r="AZ49">
        <v>116</v>
      </c>
      <c r="BA49">
        <v>148</v>
      </c>
      <c r="BB49">
        <v>112</v>
      </c>
      <c r="BC49">
        <v>104</v>
      </c>
      <c r="BD49">
        <v>124</v>
      </c>
      <c r="BE49">
        <v>156</v>
      </c>
      <c r="BF49">
        <v>116</v>
      </c>
      <c r="BG49">
        <v>160</v>
      </c>
      <c r="BH49">
        <v>120</v>
      </c>
      <c r="BI49">
        <v>120</v>
      </c>
      <c r="BJ49">
        <v>120</v>
      </c>
      <c r="BK49">
        <v>116</v>
      </c>
      <c r="BL49">
        <v>168</v>
      </c>
      <c r="BM49">
        <v>124</v>
      </c>
      <c r="BN49">
        <v>124</v>
      </c>
    </row>
    <row r="50" spans="1:66" x14ac:dyDescent="0.3">
      <c r="A50" t="s">
        <v>72</v>
      </c>
      <c r="B50" s="35">
        <v>130.85714285714286</v>
      </c>
      <c r="C50" s="35">
        <v>1995.4285714285713</v>
      </c>
      <c r="D50" s="32">
        <f>Tabela2[[#This Row],[Média 8x8]]/MIN(Tabela2[Média 8x8]) - 1</f>
        <v>9.3600764087870214E-2</v>
      </c>
      <c r="E50" s="32">
        <f>Tabela2[[#This Row],[Média 16x16]]/MIN(Tabela2[Média 16x16]) - 1</f>
        <v>0.40523138832997985</v>
      </c>
      <c r="F50" s="19">
        <f>(Tabela2[[#This Row],[Perda 8x8]]+Tabela2[[#This Row],[Perda 16x16]])</f>
        <v>0.49883215241785006</v>
      </c>
      <c r="G50" s="3">
        <f>SUM(Tabela2[[#This Row],[Média 8x8]]+Tabela2[[#This Row],[Média 16x16]])</f>
        <v>2126.2857142857142</v>
      </c>
      <c r="J50"/>
      <c r="K50"/>
      <c r="Q50" t="s">
        <v>82</v>
      </c>
      <c r="R50">
        <v>116</v>
      </c>
      <c r="S50">
        <v>112</v>
      </c>
      <c r="T50">
        <v>112</v>
      </c>
      <c r="U50">
        <v>112</v>
      </c>
      <c r="V50">
        <v>156</v>
      </c>
      <c r="W50">
        <v>120</v>
      </c>
      <c r="X50">
        <v>112</v>
      </c>
      <c r="Y50">
        <v>116</v>
      </c>
      <c r="Z50">
        <v>116</v>
      </c>
      <c r="AA50">
        <v>148</v>
      </c>
      <c r="AB50">
        <v>112</v>
      </c>
      <c r="AC50">
        <v>108</v>
      </c>
      <c r="AD50">
        <v>112</v>
      </c>
      <c r="AE50">
        <v>108</v>
      </c>
      <c r="AF50">
        <v>148</v>
      </c>
      <c r="AG50">
        <v>112</v>
      </c>
      <c r="AH50">
        <v>120</v>
      </c>
      <c r="AI50">
        <v>120</v>
      </c>
      <c r="AJ50">
        <v>156</v>
      </c>
      <c r="AK50">
        <v>120</v>
      </c>
      <c r="AL50">
        <v>112</v>
      </c>
      <c r="AM50">
        <v>156</v>
      </c>
      <c r="AN50">
        <v>132</v>
      </c>
      <c r="AO50">
        <v>156</v>
      </c>
      <c r="AP50">
        <v>116</v>
      </c>
      <c r="AQ50">
        <v>164</v>
      </c>
      <c r="AR50">
        <v>124</v>
      </c>
      <c r="AS50">
        <v>176</v>
      </c>
      <c r="AT50">
        <v>180</v>
      </c>
      <c r="AU50">
        <v>120</v>
      </c>
      <c r="AV50">
        <v>156</v>
      </c>
      <c r="AW50">
        <v>152</v>
      </c>
      <c r="AX50">
        <v>180</v>
      </c>
      <c r="AY50">
        <v>196</v>
      </c>
      <c r="AZ50">
        <v>272</v>
      </c>
      <c r="BA50">
        <v>280</v>
      </c>
      <c r="BB50">
        <v>112</v>
      </c>
      <c r="BC50">
        <v>108</v>
      </c>
      <c r="BD50">
        <v>112</v>
      </c>
      <c r="BE50">
        <v>120</v>
      </c>
      <c r="BF50">
        <v>112</v>
      </c>
      <c r="BG50">
        <v>116</v>
      </c>
      <c r="BH50">
        <v>156</v>
      </c>
      <c r="BI50">
        <v>128</v>
      </c>
      <c r="BJ50">
        <v>108</v>
      </c>
      <c r="BK50">
        <v>128</v>
      </c>
      <c r="BL50">
        <v>140</v>
      </c>
      <c r="BM50">
        <v>144</v>
      </c>
      <c r="BN50">
        <v>184</v>
      </c>
    </row>
    <row r="51" spans="1:66" x14ac:dyDescent="0.3">
      <c r="A51" t="s">
        <v>47</v>
      </c>
      <c r="B51" s="35">
        <v>129.94285714285715</v>
      </c>
      <c r="C51" s="35">
        <v>2029.7142857142858</v>
      </c>
      <c r="D51" s="32">
        <f>Tabela2[[#This Row],[Média 8x8]]/MIN(Tabela2[Média 8x8]) - 1</f>
        <v>8.5959885386819535E-2</v>
      </c>
      <c r="E51" s="32">
        <f>Tabela2[[#This Row],[Média 16x16]]/MIN(Tabela2[Média 16x16]) - 1</f>
        <v>0.42937625754527176</v>
      </c>
      <c r="F51" s="19">
        <f>(Tabela2[[#This Row],[Perda 8x8]]+Tabela2[[#This Row],[Perda 16x16]])</f>
        <v>0.51533614293209129</v>
      </c>
      <c r="G51" s="3">
        <f>SUM(Tabela2[[#This Row],[Média 8x8]]+Tabela2[[#This Row],[Média 16x16]])</f>
        <v>2159.6571428571428</v>
      </c>
      <c r="J51"/>
      <c r="K51"/>
      <c r="Q51" t="s">
        <v>102</v>
      </c>
      <c r="R51">
        <v>116</v>
      </c>
      <c r="S51">
        <v>156</v>
      </c>
      <c r="T51">
        <v>120</v>
      </c>
      <c r="U51">
        <v>116</v>
      </c>
      <c r="V51">
        <v>108</v>
      </c>
      <c r="W51">
        <v>108</v>
      </c>
      <c r="X51">
        <v>112</v>
      </c>
      <c r="Y51">
        <v>108</v>
      </c>
      <c r="Z51">
        <v>148</v>
      </c>
      <c r="AA51">
        <v>128</v>
      </c>
      <c r="AB51">
        <v>108</v>
      </c>
      <c r="AC51">
        <v>108</v>
      </c>
      <c r="AD51">
        <v>112</v>
      </c>
      <c r="AE51">
        <v>144</v>
      </c>
      <c r="AF51">
        <v>104</v>
      </c>
      <c r="AG51">
        <v>120</v>
      </c>
      <c r="AH51">
        <v>152</v>
      </c>
      <c r="AI51">
        <v>156</v>
      </c>
      <c r="AJ51">
        <v>192</v>
      </c>
      <c r="AK51">
        <v>116</v>
      </c>
      <c r="AL51">
        <v>120</v>
      </c>
      <c r="AM51">
        <v>140</v>
      </c>
      <c r="AN51">
        <v>168</v>
      </c>
      <c r="AO51">
        <v>148</v>
      </c>
      <c r="AP51">
        <v>108</v>
      </c>
      <c r="AQ51">
        <v>144</v>
      </c>
      <c r="AR51">
        <v>108</v>
      </c>
      <c r="AS51">
        <v>108</v>
      </c>
      <c r="AT51">
        <v>140</v>
      </c>
      <c r="AU51">
        <v>112</v>
      </c>
      <c r="AV51">
        <v>156</v>
      </c>
      <c r="AW51">
        <v>132</v>
      </c>
      <c r="AX51">
        <v>160</v>
      </c>
      <c r="AY51">
        <v>156</v>
      </c>
      <c r="AZ51">
        <v>120</v>
      </c>
      <c r="BA51">
        <v>140</v>
      </c>
      <c r="BB51">
        <v>152</v>
      </c>
      <c r="BC51">
        <v>184</v>
      </c>
      <c r="BD51">
        <v>180</v>
      </c>
      <c r="BE51">
        <v>240</v>
      </c>
      <c r="BF51">
        <v>292</v>
      </c>
      <c r="BG51">
        <v>156</v>
      </c>
      <c r="BH51">
        <v>120</v>
      </c>
      <c r="BI51">
        <v>128</v>
      </c>
      <c r="BJ51">
        <v>120</v>
      </c>
      <c r="BK51">
        <v>124</v>
      </c>
      <c r="BL51">
        <v>124</v>
      </c>
      <c r="BM51">
        <v>120</v>
      </c>
      <c r="BN51">
        <v>164</v>
      </c>
    </row>
    <row r="52" spans="1:66" x14ac:dyDescent="0.3">
      <c r="A52" t="s">
        <v>59</v>
      </c>
      <c r="B52" s="35">
        <v>126.85714285714286</v>
      </c>
      <c r="C52" s="35">
        <v>2084.5714285714284</v>
      </c>
      <c r="D52" s="32">
        <f>Tabela2[[#This Row],[Média 8x8]]/MIN(Tabela2[Média 8x8]) - 1</f>
        <v>6.0171919770773741E-2</v>
      </c>
      <c r="E52" s="32">
        <f>Tabela2[[#This Row],[Média 16x16]]/MIN(Tabela2[Média 16x16]) - 1</f>
        <v>0.46800804828973841</v>
      </c>
      <c r="F52" s="19">
        <f>(Tabela2[[#This Row],[Perda 8x8]]+Tabela2[[#This Row],[Perda 16x16]])</f>
        <v>0.52817996806051215</v>
      </c>
      <c r="G52" s="3">
        <f>SUM(Tabela2[[#This Row],[Média 8x8]]+Tabela2[[#This Row],[Média 16x16]])</f>
        <v>2211.4285714285711</v>
      </c>
      <c r="J52"/>
      <c r="K52"/>
      <c r="Q52" t="s">
        <v>94</v>
      </c>
      <c r="R52">
        <v>116</v>
      </c>
      <c r="S52">
        <v>124</v>
      </c>
      <c r="T52">
        <v>156</v>
      </c>
      <c r="U52">
        <v>108</v>
      </c>
      <c r="V52">
        <v>108</v>
      </c>
      <c r="W52">
        <v>120</v>
      </c>
      <c r="X52">
        <v>148</v>
      </c>
      <c r="Y52">
        <v>112</v>
      </c>
      <c r="Z52">
        <v>116</v>
      </c>
      <c r="AA52">
        <v>152</v>
      </c>
      <c r="AB52">
        <v>120</v>
      </c>
      <c r="AC52">
        <v>116</v>
      </c>
      <c r="AD52">
        <v>116</v>
      </c>
      <c r="AE52">
        <v>116</v>
      </c>
      <c r="AF52">
        <v>116</v>
      </c>
      <c r="AG52">
        <v>160</v>
      </c>
      <c r="AH52">
        <v>116</v>
      </c>
      <c r="AI52">
        <v>124</v>
      </c>
      <c r="AJ52">
        <v>132</v>
      </c>
      <c r="AK52">
        <v>124</v>
      </c>
      <c r="AL52">
        <v>164</v>
      </c>
      <c r="AM52">
        <v>120</v>
      </c>
      <c r="AN52">
        <v>124</v>
      </c>
      <c r="AO52">
        <v>124</v>
      </c>
      <c r="AP52">
        <v>156</v>
      </c>
      <c r="AQ52">
        <v>124</v>
      </c>
      <c r="AR52">
        <v>120</v>
      </c>
      <c r="AS52">
        <v>164</v>
      </c>
      <c r="AT52">
        <v>120</v>
      </c>
      <c r="AU52">
        <v>128</v>
      </c>
      <c r="AV52">
        <v>152</v>
      </c>
      <c r="AW52">
        <v>120</v>
      </c>
      <c r="AX52">
        <v>160</v>
      </c>
      <c r="AY52">
        <v>128</v>
      </c>
      <c r="AZ52">
        <v>156</v>
      </c>
      <c r="BA52">
        <v>116</v>
      </c>
      <c r="BB52">
        <v>152</v>
      </c>
      <c r="BC52">
        <v>152</v>
      </c>
      <c r="BD52">
        <v>144</v>
      </c>
      <c r="BE52">
        <v>172</v>
      </c>
      <c r="BF52">
        <v>156</v>
      </c>
      <c r="BG52">
        <v>184</v>
      </c>
      <c r="BH52">
        <v>224</v>
      </c>
      <c r="BI52">
        <v>260</v>
      </c>
      <c r="BJ52">
        <v>120</v>
      </c>
      <c r="BK52">
        <v>112</v>
      </c>
      <c r="BL52">
        <v>132</v>
      </c>
      <c r="BM52">
        <v>112</v>
      </c>
      <c r="BN52">
        <v>132</v>
      </c>
    </row>
    <row r="53" spans="1:66" x14ac:dyDescent="0.3">
      <c r="A53" t="s">
        <v>52</v>
      </c>
      <c r="B53" s="35">
        <v>124.22857142857143</v>
      </c>
      <c r="C53" s="35">
        <v>2118.2857142857142</v>
      </c>
      <c r="D53" s="32">
        <f>Tabela2[[#This Row],[Média 8x8]]/MIN(Tabela2[Média 8x8]) - 1</f>
        <v>3.8204393505253176E-2</v>
      </c>
      <c r="E53" s="32">
        <f>Tabela2[[#This Row],[Média 16x16]]/MIN(Tabela2[Média 16x16]) - 1</f>
        <v>0.49175050301810863</v>
      </c>
      <c r="F53" s="19">
        <f>(Tabela2[[#This Row],[Perda 8x8]]+Tabela2[[#This Row],[Perda 16x16]])</f>
        <v>0.52995489652336181</v>
      </c>
      <c r="G53" s="3">
        <f>SUM(Tabela2[[#This Row],[Média 8x8]]+Tabela2[[#This Row],[Média 16x16]])</f>
        <v>2242.5142857142855</v>
      </c>
      <c r="J53"/>
      <c r="K53"/>
      <c r="Q53" t="s">
        <v>110</v>
      </c>
      <c r="R53">
        <v>152</v>
      </c>
      <c r="S53">
        <v>160</v>
      </c>
      <c r="T53">
        <v>112</v>
      </c>
      <c r="U53">
        <v>144</v>
      </c>
      <c r="V53">
        <v>168</v>
      </c>
      <c r="W53">
        <v>172</v>
      </c>
      <c r="X53">
        <v>176</v>
      </c>
      <c r="Y53">
        <v>212</v>
      </c>
      <c r="Z53">
        <v>280</v>
      </c>
      <c r="AA53">
        <v>112</v>
      </c>
      <c r="AB53">
        <v>112</v>
      </c>
      <c r="AC53">
        <v>108</v>
      </c>
      <c r="AD53">
        <v>112</v>
      </c>
      <c r="AE53">
        <v>112</v>
      </c>
      <c r="AF53">
        <v>152</v>
      </c>
      <c r="AG53">
        <v>120</v>
      </c>
      <c r="AH53">
        <v>104</v>
      </c>
      <c r="AI53">
        <v>104</v>
      </c>
      <c r="AJ53">
        <v>112</v>
      </c>
      <c r="AK53">
        <v>104</v>
      </c>
      <c r="AL53">
        <v>144</v>
      </c>
      <c r="AM53">
        <v>120</v>
      </c>
      <c r="AN53">
        <v>124</v>
      </c>
      <c r="AO53">
        <v>132</v>
      </c>
      <c r="AP53">
        <v>164</v>
      </c>
      <c r="AQ53">
        <v>108</v>
      </c>
      <c r="AR53">
        <v>104</v>
      </c>
      <c r="AS53">
        <v>108</v>
      </c>
      <c r="AT53">
        <v>148</v>
      </c>
      <c r="AU53">
        <v>116</v>
      </c>
      <c r="AV53">
        <v>116</v>
      </c>
      <c r="AW53">
        <v>140</v>
      </c>
      <c r="AX53">
        <v>164</v>
      </c>
      <c r="AY53">
        <v>108</v>
      </c>
      <c r="AZ53">
        <v>144</v>
      </c>
      <c r="BA53">
        <v>112</v>
      </c>
      <c r="BB53">
        <v>140</v>
      </c>
      <c r="BC53">
        <v>120</v>
      </c>
      <c r="BD53">
        <v>148</v>
      </c>
      <c r="BE53">
        <v>144</v>
      </c>
      <c r="BF53">
        <v>148</v>
      </c>
      <c r="BG53">
        <v>152</v>
      </c>
      <c r="BH53">
        <v>176</v>
      </c>
      <c r="BI53">
        <v>184</v>
      </c>
      <c r="BJ53">
        <v>188</v>
      </c>
      <c r="BK53">
        <v>312</v>
      </c>
      <c r="BL53">
        <v>128</v>
      </c>
      <c r="BM53">
        <v>116</v>
      </c>
      <c r="BN53">
        <v>108</v>
      </c>
    </row>
    <row r="54" spans="1:66" x14ac:dyDescent="0.3">
      <c r="A54" t="s">
        <v>45</v>
      </c>
      <c r="B54" s="35">
        <v>140.22857142857143</v>
      </c>
      <c r="C54" s="35">
        <v>1939.4285714285713</v>
      </c>
      <c r="D54" s="32">
        <f>Tabela2[[#This Row],[Média 8x8]]/MIN(Tabela2[Média 8x8]) - 1</f>
        <v>0.17191977077363885</v>
      </c>
      <c r="E54" s="32">
        <f>Tabela2[[#This Row],[Média 16x16]]/MIN(Tabela2[Média 16x16]) - 1</f>
        <v>0.36579476861167004</v>
      </c>
      <c r="F54" s="19">
        <f>(Tabela2[[#This Row],[Perda 8x8]]+Tabela2[[#This Row],[Perda 16x16]])</f>
        <v>0.53771453938530889</v>
      </c>
      <c r="G54" s="3">
        <f>SUM(Tabela2[[#This Row],[Média 8x8]]+Tabela2[[#This Row],[Média 16x16]])</f>
        <v>2079.6571428571428</v>
      </c>
      <c r="J54"/>
      <c r="K54"/>
      <c r="Q54" t="s">
        <v>77</v>
      </c>
      <c r="R54">
        <v>152</v>
      </c>
      <c r="S54">
        <v>116</v>
      </c>
      <c r="T54">
        <v>128</v>
      </c>
      <c r="U54">
        <v>156</v>
      </c>
      <c r="V54">
        <v>112</v>
      </c>
      <c r="W54">
        <v>112</v>
      </c>
      <c r="X54">
        <v>144</v>
      </c>
      <c r="Y54">
        <v>112</v>
      </c>
      <c r="Z54">
        <v>132</v>
      </c>
      <c r="AA54">
        <v>108</v>
      </c>
      <c r="AB54">
        <v>152</v>
      </c>
      <c r="AC54">
        <v>116</v>
      </c>
      <c r="AD54">
        <v>152</v>
      </c>
      <c r="AE54">
        <v>144</v>
      </c>
      <c r="AF54">
        <v>152</v>
      </c>
      <c r="AG54">
        <v>148</v>
      </c>
      <c r="AH54">
        <v>144</v>
      </c>
      <c r="AI54">
        <v>184</v>
      </c>
      <c r="AJ54">
        <v>252</v>
      </c>
      <c r="AK54">
        <v>264</v>
      </c>
      <c r="AL54">
        <v>124</v>
      </c>
      <c r="AM54">
        <v>116</v>
      </c>
      <c r="AN54">
        <v>112</v>
      </c>
      <c r="AO54">
        <v>116</v>
      </c>
      <c r="AP54">
        <v>104</v>
      </c>
      <c r="AQ54">
        <v>112</v>
      </c>
      <c r="AR54">
        <v>148</v>
      </c>
      <c r="AS54">
        <v>120</v>
      </c>
      <c r="AT54">
        <v>120</v>
      </c>
      <c r="AU54">
        <v>112</v>
      </c>
      <c r="AV54">
        <v>116</v>
      </c>
      <c r="AW54">
        <v>148</v>
      </c>
      <c r="AX54">
        <v>116</v>
      </c>
      <c r="AY54">
        <v>116</v>
      </c>
      <c r="AZ54">
        <v>108</v>
      </c>
      <c r="BA54">
        <v>128</v>
      </c>
      <c r="BB54">
        <v>156</v>
      </c>
      <c r="BC54">
        <v>116</v>
      </c>
      <c r="BD54">
        <v>116</v>
      </c>
      <c r="BE54">
        <v>116</v>
      </c>
      <c r="BF54">
        <v>156</v>
      </c>
      <c r="BG54">
        <v>124</v>
      </c>
      <c r="BH54">
        <v>128</v>
      </c>
      <c r="BI54">
        <v>152</v>
      </c>
      <c r="BJ54">
        <v>108</v>
      </c>
      <c r="BK54">
        <v>112</v>
      </c>
      <c r="BL54">
        <v>148</v>
      </c>
      <c r="BM54">
        <v>112</v>
      </c>
      <c r="BN54">
        <v>148</v>
      </c>
    </row>
    <row r="55" spans="1:66" x14ac:dyDescent="0.3">
      <c r="A55" t="s">
        <v>102</v>
      </c>
      <c r="B55" s="35">
        <v>132.11428571428573</v>
      </c>
      <c r="C55" s="35">
        <v>2052.5714285714284</v>
      </c>
      <c r="D55" s="32">
        <f>Tabela2[[#This Row],[Média 8x8]]/MIN(Tabela2[Média 8x8]) - 1</f>
        <v>0.10410697230181487</v>
      </c>
      <c r="E55" s="32">
        <f>Tabela2[[#This Row],[Média 16x16]]/MIN(Tabela2[Média 16x16]) - 1</f>
        <v>0.44547283702213281</v>
      </c>
      <c r="F55" s="19">
        <f>(Tabela2[[#This Row],[Perda 8x8]]+Tabela2[[#This Row],[Perda 16x16]])</f>
        <v>0.54957980932394768</v>
      </c>
      <c r="G55" s="3">
        <f>SUM(Tabela2[[#This Row],[Média 8x8]]+Tabela2[[#This Row],[Média 16x16]])</f>
        <v>2184.6857142857143</v>
      </c>
      <c r="J55"/>
      <c r="K55"/>
      <c r="Q55" t="s">
        <v>112</v>
      </c>
      <c r="R55">
        <v>136</v>
      </c>
      <c r="S55">
        <v>132</v>
      </c>
      <c r="T55">
        <v>164</v>
      </c>
      <c r="U55">
        <v>140</v>
      </c>
      <c r="V55">
        <v>148</v>
      </c>
      <c r="W55">
        <v>132</v>
      </c>
      <c r="X55">
        <v>168</v>
      </c>
      <c r="Y55">
        <v>108</v>
      </c>
      <c r="Z55">
        <v>148</v>
      </c>
      <c r="AA55">
        <v>148</v>
      </c>
      <c r="AB55">
        <v>140</v>
      </c>
      <c r="AC55">
        <v>156</v>
      </c>
      <c r="AD55">
        <v>152</v>
      </c>
      <c r="AE55">
        <v>184</v>
      </c>
      <c r="AF55">
        <v>216</v>
      </c>
      <c r="AG55">
        <v>280</v>
      </c>
      <c r="AH55">
        <v>120</v>
      </c>
      <c r="AI55">
        <v>124</v>
      </c>
      <c r="AJ55">
        <v>124</v>
      </c>
      <c r="AK55">
        <v>124</v>
      </c>
      <c r="AL55">
        <v>124</v>
      </c>
      <c r="AM55">
        <v>164</v>
      </c>
      <c r="AN55">
        <v>136</v>
      </c>
      <c r="AO55">
        <v>152</v>
      </c>
      <c r="AP55">
        <v>144</v>
      </c>
      <c r="AQ55">
        <v>184</v>
      </c>
      <c r="AR55">
        <v>116</v>
      </c>
      <c r="AS55">
        <v>140</v>
      </c>
      <c r="AT55">
        <v>120</v>
      </c>
      <c r="AU55">
        <v>156</v>
      </c>
      <c r="AV55">
        <v>140</v>
      </c>
      <c r="AW55">
        <v>112</v>
      </c>
      <c r="AX55">
        <v>156</v>
      </c>
      <c r="AY55">
        <v>116</v>
      </c>
      <c r="AZ55">
        <v>124</v>
      </c>
      <c r="BA55">
        <v>236</v>
      </c>
      <c r="BB55">
        <v>116</v>
      </c>
      <c r="BC55">
        <v>152</v>
      </c>
      <c r="BD55">
        <v>112</v>
      </c>
      <c r="BE55">
        <v>176</v>
      </c>
      <c r="BF55">
        <v>124</v>
      </c>
      <c r="BG55">
        <v>156</v>
      </c>
      <c r="BH55">
        <v>164</v>
      </c>
      <c r="BI55">
        <v>156</v>
      </c>
      <c r="BJ55">
        <v>152</v>
      </c>
      <c r="BK55">
        <v>192</v>
      </c>
      <c r="BL55">
        <v>188</v>
      </c>
      <c r="BM55">
        <v>284</v>
      </c>
      <c r="BN55">
        <v>308</v>
      </c>
    </row>
    <row r="56" spans="1:66" x14ac:dyDescent="0.3">
      <c r="A56" t="s">
        <v>49</v>
      </c>
      <c r="B56" s="35">
        <v>161.82857142857142</v>
      </c>
      <c r="C56" s="35">
        <v>1700.5714285714287</v>
      </c>
      <c r="D56" s="32">
        <f>Tabela2[[#This Row],[Média 8x8]]/MIN(Tabela2[Média 8x8]) - 1</f>
        <v>0.35243553008595985</v>
      </c>
      <c r="E56" s="32">
        <f>Tabela2[[#This Row],[Média 16x16]]/MIN(Tabela2[Média 16x16]) - 1</f>
        <v>0.19758551307847094</v>
      </c>
      <c r="F56" s="19">
        <f>(Tabela2[[#This Row],[Perda 8x8]]+Tabela2[[#This Row],[Perda 16x16]])</f>
        <v>0.55002104316443079</v>
      </c>
      <c r="G56" s="3">
        <f>SUM(Tabela2[[#This Row],[Média 8x8]]+Tabela2[[#This Row],[Média 16x16]])</f>
        <v>1862.4</v>
      </c>
      <c r="I56" s="14" t="s">
        <v>34</v>
      </c>
      <c r="J56" s="15" t="s">
        <v>198</v>
      </c>
      <c r="K56" s="15" t="s">
        <v>199</v>
      </c>
      <c r="L56" s="20" t="s">
        <v>200</v>
      </c>
      <c r="Q56" t="s">
        <v>107</v>
      </c>
      <c r="R56">
        <v>112</v>
      </c>
      <c r="S56">
        <v>160</v>
      </c>
      <c r="T56">
        <v>120</v>
      </c>
      <c r="U56">
        <v>120</v>
      </c>
      <c r="V56">
        <v>120</v>
      </c>
      <c r="W56">
        <v>108</v>
      </c>
      <c r="X56">
        <v>156</v>
      </c>
      <c r="Y56">
        <v>116</v>
      </c>
      <c r="Z56">
        <v>120</v>
      </c>
      <c r="AA56">
        <v>124</v>
      </c>
      <c r="AB56">
        <v>160</v>
      </c>
      <c r="AC56">
        <v>116</v>
      </c>
      <c r="AD56">
        <v>112</v>
      </c>
      <c r="AE56">
        <v>116</v>
      </c>
      <c r="AF56">
        <v>164</v>
      </c>
      <c r="AG56">
        <v>124</v>
      </c>
      <c r="AH56">
        <v>120</v>
      </c>
      <c r="AI56">
        <v>156</v>
      </c>
      <c r="AJ56">
        <v>116</v>
      </c>
      <c r="AK56">
        <v>164</v>
      </c>
      <c r="AL56">
        <v>132</v>
      </c>
      <c r="AM56">
        <v>164</v>
      </c>
      <c r="AN56">
        <v>112</v>
      </c>
      <c r="AO56">
        <v>152</v>
      </c>
      <c r="AP56">
        <v>128</v>
      </c>
      <c r="AQ56">
        <v>148</v>
      </c>
      <c r="AR56">
        <v>148</v>
      </c>
      <c r="AS56">
        <v>136</v>
      </c>
      <c r="AT56">
        <v>204</v>
      </c>
      <c r="AU56">
        <v>172</v>
      </c>
      <c r="AV56">
        <v>244</v>
      </c>
      <c r="AW56">
        <v>268</v>
      </c>
      <c r="AX56">
        <v>120</v>
      </c>
      <c r="AY56">
        <v>120</v>
      </c>
      <c r="AZ56">
        <v>116</v>
      </c>
      <c r="BA56">
        <v>116</v>
      </c>
      <c r="BB56">
        <v>124</v>
      </c>
      <c r="BC56">
        <v>160</v>
      </c>
      <c r="BD56">
        <v>120</v>
      </c>
      <c r="BE56">
        <v>120</v>
      </c>
      <c r="BF56">
        <v>124</v>
      </c>
      <c r="BG56">
        <v>124</v>
      </c>
      <c r="BH56">
        <v>168</v>
      </c>
      <c r="BI56">
        <v>132</v>
      </c>
      <c r="BJ56">
        <v>132</v>
      </c>
      <c r="BK56">
        <v>124</v>
      </c>
      <c r="BL56">
        <v>156</v>
      </c>
      <c r="BM56">
        <v>128</v>
      </c>
      <c r="BN56">
        <v>124</v>
      </c>
    </row>
    <row r="57" spans="1:66" x14ac:dyDescent="0.3">
      <c r="A57" t="s">
        <v>75</v>
      </c>
      <c r="B57" s="35">
        <v>143.42857142857142</v>
      </c>
      <c r="C57" s="35">
        <v>1941.1428571428571</v>
      </c>
      <c r="D57" s="32">
        <f>Tabela2[[#This Row],[Média 8x8]]/MIN(Tabela2[Média 8x8]) - 1</f>
        <v>0.19866284622731611</v>
      </c>
      <c r="E57" s="32">
        <f>Tabela2[[#This Row],[Média 16x16]]/MIN(Tabela2[Média 16x16]) - 1</f>
        <v>0.36700201207243466</v>
      </c>
      <c r="F57" s="19">
        <f>(Tabela2[[#This Row],[Perda 8x8]]+Tabela2[[#This Row],[Perda 16x16]])</f>
        <v>0.56566485829975077</v>
      </c>
      <c r="G57" s="3">
        <f>SUM(Tabela2[[#This Row],[Média 8x8]]+Tabela2[[#This Row],[Média 16x16]])</f>
        <v>2084.5714285714284</v>
      </c>
      <c r="I57" s="16" t="s">
        <v>53</v>
      </c>
      <c r="J57" s="33">
        <v>7.3543457497610001E-2</v>
      </c>
      <c r="K57" s="33">
        <v>0</v>
      </c>
      <c r="L57" s="33">
        <v>7.3543457497612152E-2</v>
      </c>
      <c r="Q57" t="s">
        <v>113</v>
      </c>
      <c r="R57">
        <v>136</v>
      </c>
      <c r="S57">
        <v>128</v>
      </c>
      <c r="T57">
        <v>176</v>
      </c>
      <c r="U57">
        <v>128</v>
      </c>
      <c r="V57">
        <v>128</v>
      </c>
      <c r="W57">
        <v>128</v>
      </c>
      <c r="X57">
        <v>124</v>
      </c>
      <c r="Y57">
        <v>136</v>
      </c>
      <c r="Z57">
        <v>200</v>
      </c>
      <c r="AA57">
        <v>240</v>
      </c>
      <c r="AB57">
        <v>160</v>
      </c>
      <c r="AC57">
        <v>120</v>
      </c>
      <c r="AD57">
        <v>176</v>
      </c>
      <c r="AE57">
        <v>180</v>
      </c>
      <c r="AF57">
        <v>176</v>
      </c>
      <c r="AG57">
        <v>212</v>
      </c>
      <c r="AH57">
        <v>124</v>
      </c>
      <c r="AI57">
        <v>124</v>
      </c>
      <c r="AJ57">
        <v>124</v>
      </c>
      <c r="AK57">
        <v>124</v>
      </c>
      <c r="AL57">
        <v>148</v>
      </c>
      <c r="AM57">
        <v>124</v>
      </c>
      <c r="AN57">
        <v>136</v>
      </c>
      <c r="AO57">
        <v>144</v>
      </c>
      <c r="AP57">
        <v>172</v>
      </c>
      <c r="AQ57">
        <v>132</v>
      </c>
      <c r="AR57">
        <v>124</v>
      </c>
      <c r="AS57">
        <v>112</v>
      </c>
      <c r="AT57">
        <v>144</v>
      </c>
      <c r="AU57">
        <v>108</v>
      </c>
      <c r="AV57">
        <v>112</v>
      </c>
      <c r="AW57">
        <v>152</v>
      </c>
      <c r="AX57">
        <v>116</v>
      </c>
      <c r="AY57">
        <v>144</v>
      </c>
      <c r="AZ57">
        <v>112</v>
      </c>
      <c r="BA57">
        <v>144</v>
      </c>
      <c r="BB57">
        <v>124</v>
      </c>
      <c r="BC57">
        <v>184</v>
      </c>
      <c r="BD57">
        <v>192</v>
      </c>
      <c r="BE57">
        <v>176</v>
      </c>
      <c r="BF57">
        <v>140</v>
      </c>
      <c r="BG57">
        <v>152</v>
      </c>
      <c r="BH57">
        <v>188</v>
      </c>
      <c r="BI57">
        <v>228</v>
      </c>
      <c r="BJ57">
        <v>260</v>
      </c>
      <c r="BK57">
        <v>124</v>
      </c>
      <c r="BL57">
        <v>144</v>
      </c>
      <c r="BM57">
        <v>104</v>
      </c>
      <c r="BN57">
        <v>108</v>
      </c>
    </row>
    <row r="58" spans="1:66" x14ac:dyDescent="0.3">
      <c r="A58" t="s">
        <v>48</v>
      </c>
      <c r="B58" s="35">
        <v>124.11428571428571</v>
      </c>
      <c r="C58" s="35">
        <v>2181.1428571428573</v>
      </c>
      <c r="D58" s="32">
        <f>Tabela2[[#This Row],[Média 8x8]]/MIN(Tabela2[Média 8x8]) - 1</f>
        <v>3.7249283667621702E-2</v>
      </c>
      <c r="E58" s="32">
        <f>Tabela2[[#This Row],[Média 16x16]]/MIN(Tabela2[Média 16x16]) - 1</f>
        <v>0.53601609657947691</v>
      </c>
      <c r="F58" s="19">
        <f>(Tabela2[[#This Row],[Perda 8x8]]+Tabela2[[#This Row],[Perda 16x16]])</f>
        <v>0.57326538024709861</v>
      </c>
      <c r="G58" s="3">
        <f>SUM(Tabela2[[#This Row],[Média 8x8]]+Tabela2[[#This Row],[Média 16x16]])</f>
        <v>2305.2571428571432</v>
      </c>
      <c r="I58" s="17" t="s">
        <v>44</v>
      </c>
      <c r="J58" s="34">
        <v>3.3428844317099998E-2</v>
      </c>
      <c r="K58" s="34">
        <v>5.8752515090539997E-2</v>
      </c>
      <c r="L58" s="34">
        <v>9.2181359407639718E-2</v>
      </c>
      <c r="Q58" t="s">
        <v>111</v>
      </c>
      <c r="R58">
        <v>120</v>
      </c>
      <c r="S58">
        <v>120</v>
      </c>
      <c r="T58">
        <v>120</v>
      </c>
      <c r="U58">
        <v>124</v>
      </c>
      <c r="V58">
        <v>128</v>
      </c>
      <c r="W58">
        <v>152</v>
      </c>
      <c r="X58">
        <v>120</v>
      </c>
      <c r="Y58">
        <v>164</v>
      </c>
      <c r="Z58">
        <v>124</v>
      </c>
      <c r="AA58">
        <v>120</v>
      </c>
      <c r="AB58">
        <v>120</v>
      </c>
      <c r="AC58">
        <v>136</v>
      </c>
      <c r="AD58">
        <v>136</v>
      </c>
      <c r="AE58">
        <v>172</v>
      </c>
      <c r="AF58">
        <v>140</v>
      </c>
      <c r="AG58">
        <v>188</v>
      </c>
      <c r="AH58">
        <v>116</v>
      </c>
      <c r="AI58">
        <v>120</v>
      </c>
      <c r="AJ58">
        <v>148</v>
      </c>
      <c r="AK58">
        <v>128</v>
      </c>
      <c r="AL58">
        <v>128</v>
      </c>
      <c r="AM58">
        <v>116</v>
      </c>
      <c r="AN58">
        <v>120</v>
      </c>
      <c r="AO58">
        <v>152</v>
      </c>
      <c r="AP58">
        <v>120</v>
      </c>
      <c r="AQ58">
        <v>112</v>
      </c>
      <c r="AR58">
        <v>116</v>
      </c>
      <c r="AS58">
        <v>164</v>
      </c>
      <c r="AT58">
        <v>124</v>
      </c>
      <c r="AU58">
        <v>128</v>
      </c>
      <c r="AV58">
        <v>160</v>
      </c>
      <c r="AW58">
        <v>112</v>
      </c>
      <c r="AX58">
        <v>176</v>
      </c>
      <c r="AY58">
        <v>116</v>
      </c>
      <c r="AZ58">
        <v>148</v>
      </c>
      <c r="BA58">
        <v>116</v>
      </c>
      <c r="BB58">
        <v>160</v>
      </c>
      <c r="BC58">
        <v>156</v>
      </c>
      <c r="BD58">
        <v>156</v>
      </c>
      <c r="BE58">
        <v>148</v>
      </c>
      <c r="BF58">
        <v>144</v>
      </c>
      <c r="BG58">
        <v>188</v>
      </c>
      <c r="BH58">
        <v>208</v>
      </c>
      <c r="BI58">
        <v>256</v>
      </c>
      <c r="BJ58">
        <v>116</v>
      </c>
      <c r="BK58">
        <v>128</v>
      </c>
      <c r="BL58">
        <v>140</v>
      </c>
      <c r="BM58">
        <v>128</v>
      </c>
      <c r="BN58">
        <v>132</v>
      </c>
    </row>
    <row r="59" spans="1:66" x14ac:dyDescent="0.3">
      <c r="A59" t="s">
        <v>84</v>
      </c>
      <c r="B59" s="35">
        <v>139.54285714285714</v>
      </c>
      <c r="C59" s="35">
        <v>2009.7142857142858</v>
      </c>
      <c r="D59" s="32">
        <f>Tabela2[[#This Row],[Média 8x8]]/MIN(Tabela2[Média 8x8]) - 1</f>
        <v>0.16618911174785111</v>
      </c>
      <c r="E59" s="32">
        <f>Tabela2[[#This Row],[Média 16x16]]/MIN(Tabela2[Média 16x16]) - 1</f>
        <v>0.41529175050301825</v>
      </c>
      <c r="F59" s="19">
        <f>(Tabela2[[#This Row],[Perda 8x8]]+Tabela2[[#This Row],[Perda 16x16]])</f>
        <v>0.58148086225086937</v>
      </c>
      <c r="G59" s="3">
        <f>SUM(Tabela2[[#This Row],[Média 8x8]]+Tabela2[[#This Row],[Média 16x16]])</f>
        <v>2149.2571428571428</v>
      </c>
      <c r="I59" s="16" t="s">
        <v>38</v>
      </c>
      <c r="J59" s="33">
        <v>1.1461318051580001E-2</v>
      </c>
      <c r="K59" s="33">
        <v>8.9336016096579998E-2</v>
      </c>
      <c r="L59" s="33">
        <v>0.10079733414815539</v>
      </c>
      <c r="Q59" t="s">
        <v>114</v>
      </c>
      <c r="R59">
        <v>116</v>
      </c>
      <c r="S59">
        <v>148</v>
      </c>
      <c r="T59">
        <v>136</v>
      </c>
      <c r="U59">
        <v>156</v>
      </c>
      <c r="V59">
        <v>140</v>
      </c>
      <c r="W59">
        <v>144</v>
      </c>
      <c r="X59">
        <v>168</v>
      </c>
      <c r="Y59">
        <v>216</v>
      </c>
      <c r="Z59">
        <v>228</v>
      </c>
      <c r="AA59">
        <v>120</v>
      </c>
      <c r="AB59">
        <v>120</v>
      </c>
      <c r="AC59">
        <v>120</v>
      </c>
      <c r="AD59">
        <v>148</v>
      </c>
      <c r="AE59">
        <v>128</v>
      </c>
      <c r="AF59">
        <v>120</v>
      </c>
      <c r="AG59">
        <v>140</v>
      </c>
      <c r="AH59">
        <v>120</v>
      </c>
      <c r="AI59">
        <v>120</v>
      </c>
      <c r="AJ59">
        <v>172</v>
      </c>
      <c r="AK59">
        <v>156</v>
      </c>
      <c r="AL59">
        <v>176</v>
      </c>
      <c r="AM59">
        <v>116</v>
      </c>
      <c r="AN59">
        <v>140</v>
      </c>
      <c r="AO59">
        <v>172</v>
      </c>
      <c r="AP59">
        <v>172</v>
      </c>
      <c r="AQ59">
        <v>148</v>
      </c>
      <c r="AR59">
        <v>152</v>
      </c>
      <c r="AS59">
        <v>148</v>
      </c>
      <c r="AT59">
        <v>164</v>
      </c>
      <c r="AU59">
        <v>224</v>
      </c>
      <c r="AV59">
        <v>244</v>
      </c>
      <c r="AW59">
        <v>136</v>
      </c>
      <c r="AX59">
        <v>144</v>
      </c>
      <c r="AY59">
        <v>180</v>
      </c>
      <c r="AZ59">
        <v>168</v>
      </c>
      <c r="BA59">
        <v>136</v>
      </c>
      <c r="BB59">
        <v>132</v>
      </c>
      <c r="BC59">
        <v>152</v>
      </c>
      <c r="BD59">
        <v>120</v>
      </c>
      <c r="BE59">
        <v>152</v>
      </c>
      <c r="BF59">
        <v>152</v>
      </c>
      <c r="BG59">
        <v>164</v>
      </c>
      <c r="BH59">
        <v>120</v>
      </c>
      <c r="BI59">
        <v>136</v>
      </c>
      <c r="BJ59">
        <v>120</v>
      </c>
      <c r="BK59">
        <v>136</v>
      </c>
      <c r="BL59">
        <v>140</v>
      </c>
      <c r="BM59">
        <v>132</v>
      </c>
      <c r="BN59">
        <v>172</v>
      </c>
    </row>
    <row r="60" spans="1:66" x14ac:dyDescent="0.3">
      <c r="A60" t="s">
        <v>51</v>
      </c>
      <c r="B60" s="35">
        <v>132.80000000000001</v>
      </c>
      <c r="C60" s="35">
        <v>2117.7142857142858</v>
      </c>
      <c r="D60" s="32">
        <f>Tabela2[[#This Row],[Média 8x8]]/MIN(Tabela2[Média 8x8]) - 1</f>
        <v>0.10983763132760282</v>
      </c>
      <c r="E60" s="32">
        <f>Tabela2[[#This Row],[Média 16x16]]/MIN(Tabela2[Média 16x16]) - 1</f>
        <v>0.49134808853118717</v>
      </c>
      <c r="F60" s="19">
        <f>(Tabela2[[#This Row],[Perda 8x8]]+Tabela2[[#This Row],[Perda 16x16]])</f>
        <v>0.60118571985878999</v>
      </c>
      <c r="G60" s="3">
        <f>SUM(Tabela2[[#This Row],[Média 8x8]]+Tabela2[[#This Row],[Média 16x16]])</f>
        <v>2250.514285714286</v>
      </c>
      <c r="I60" s="17" t="s">
        <v>56</v>
      </c>
      <c r="J60" s="34">
        <v>4.966571155683E-2</v>
      </c>
      <c r="K60" s="34">
        <v>9.3762575452720001E-2</v>
      </c>
      <c r="L60" s="34">
        <v>0.14342828700954513</v>
      </c>
      <c r="Q60" t="s">
        <v>109</v>
      </c>
      <c r="R60">
        <v>140</v>
      </c>
      <c r="S60">
        <v>116</v>
      </c>
      <c r="T60">
        <v>132</v>
      </c>
      <c r="U60">
        <v>136</v>
      </c>
      <c r="V60">
        <v>116</v>
      </c>
      <c r="W60">
        <v>168</v>
      </c>
      <c r="X60">
        <v>164</v>
      </c>
      <c r="Y60">
        <v>152</v>
      </c>
      <c r="Z60">
        <v>132</v>
      </c>
      <c r="AA60">
        <v>156</v>
      </c>
      <c r="AB60">
        <v>208</v>
      </c>
      <c r="AC60">
        <v>240</v>
      </c>
      <c r="AD60">
        <v>112</v>
      </c>
      <c r="AE60">
        <v>112</v>
      </c>
      <c r="AF60">
        <v>124</v>
      </c>
      <c r="AG60">
        <v>136</v>
      </c>
      <c r="AH60">
        <v>128</v>
      </c>
      <c r="AI60">
        <v>124</v>
      </c>
      <c r="AJ60">
        <v>112</v>
      </c>
      <c r="AK60">
        <v>140</v>
      </c>
      <c r="AL60">
        <v>116</v>
      </c>
      <c r="AM60">
        <v>112</v>
      </c>
      <c r="AN60">
        <v>132</v>
      </c>
      <c r="AO60">
        <v>120</v>
      </c>
      <c r="AP60">
        <v>140</v>
      </c>
      <c r="AQ60">
        <v>120</v>
      </c>
      <c r="AR60">
        <v>164</v>
      </c>
      <c r="AS60">
        <v>128</v>
      </c>
      <c r="AT60">
        <v>152</v>
      </c>
      <c r="AU60">
        <v>148</v>
      </c>
      <c r="AV60">
        <v>144</v>
      </c>
      <c r="AW60">
        <v>160</v>
      </c>
      <c r="AX60">
        <v>140</v>
      </c>
      <c r="AY60">
        <v>160</v>
      </c>
      <c r="AZ60">
        <v>200</v>
      </c>
      <c r="BA60">
        <v>212</v>
      </c>
      <c r="BB60">
        <v>112</v>
      </c>
      <c r="BC60">
        <v>116</v>
      </c>
      <c r="BD60">
        <v>116</v>
      </c>
      <c r="BE60">
        <v>140</v>
      </c>
      <c r="BF60">
        <v>112</v>
      </c>
      <c r="BG60">
        <v>116</v>
      </c>
      <c r="BH60">
        <v>136</v>
      </c>
      <c r="BI60">
        <v>120</v>
      </c>
      <c r="BJ60">
        <v>124</v>
      </c>
      <c r="BK60">
        <v>144</v>
      </c>
      <c r="BL60">
        <v>120</v>
      </c>
      <c r="BM60">
        <v>140</v>
      </c>
      <c r="BN60">
        <v>116</v>
      </c>
    </row>
    <row r="61" spans="1:66" x14ac:dyDescent="0.3">
      <c r="A61" t="s">
        <v>73</v>
      </c>
      <c r="B61" s="35">
        <v>129.25714285714287</v>
      </c>
      <c r="C61" s="35">
        <v>2190.2857142857142</v>
      </c>
      <c r="D61" s="32">
        <f>Tabela2[[#This Row],[Média 8x8]]/MIN(Tabela2[Média 8x8]) - 1</f>
        <v>8.022922636103158E-2</v>
      </c>
      <c r="E61" s="32">
        <f>Tabela2[[#This Row],[Média 16x16]]/MIN(Tabela2[Média 16x16]) - 1</f>
        <v>0.54245472837022124</v>
      </c>
      <c r="F61" s="19">
        <f>(Tabela2[[#This Row],[Perda 8x8]]+Tabela2[[#This Row],[Perda 16x16]])</f>
        <v>0.62268395473125282</v>
      </c>
      <c r="G61" s="3">
        <f>SUM(Tabela2[[#This Row],[Média 8x8]]+Tabela2[[#This Row],[Média 16x16]])</f>
        <v>2319.542857142857</v>
      </c>
      <c r="I61" s="16" t="s">
        <v>63</v>
      </c>
      <c r="J61" s="33">
        <v>6.3037249283669994E-2</v>
      </c>
      <c r="K61" s="33">
        <v>8.4507042253520001E-2</v>
      </c>
      <c r="L61" s="33">
        <v>0.14754429153718895</v>
      </c>
      <c r="Q61" t="s">
        <v>74</v>
      </c>
      <c r="R61">
        <v>120</v>
      </c>
      <c r="S61">
        <v>120</v>
      </c>
      <c r="T61">
        <v>116</v>
      </c>
      <c r="U61">
        <v>112</v>
      </c>
      <c r="V61">
        <v>140</v>
      </c>
      <c r="W61">
        <v>132</v>
      </c>
      <c r="X61">
        <v>124</v>
      </c>
      <c r="Y61">
        <v>128</v>
      </c>
      <c r="Z61">
        <v>128</v>
      </c>
      <c r="AA61">
        <v>148</v>
      </c>
      <c r="AB61">
        <v>120</v>
      </c>
      <c r="AC61">
        <v>120</v>
      </c>
      <c r="AD61">
        <v>144</v>
      </c>
      <c r="AE61">
        <v>180</v>
      </c>
      <c r="AF61">
        <v>116</v>
      </c>
      <c r="AG61">
        <v>148</v>
      </c>
      <c r="AH61">
        <v>128</v>
      </c>
      <c r="AI61">
        <v>128</v>
      </c>
      <c r="AJ61">
        <v>144</v>
      </c>
      <c r="AK61">
        <v>132</v>
      </c>
      <c r="AL61">
        <v>144</v>
      </c>
      <c r="AM61">
        <v>116</v>
      </c>
      <c r="AN61">
        <v>136</v>
      </c>
      <c r="AO61">
        <v>136</v>
      </c>
      <c r="AP61">
        <v>144</v>
      </c>
      <c r="AQ61">
        <v>160</v>
      </c>
      <c r="AR61">
        <v>180</v>
      </c>
      <c r="AS61">
        <v>180</v>
      </c>
      <c r="AT61">
        <v>224</v>
      </c>
      <c r="AU61">
        <v>108</v>
      </c>
      <c r="AV61">
        <v>104</v>
      </c>
      <c r="AW61">
        <v>128</v>
      </c>
      <c r="AX61">
        <v>132</v>
      </c>
      <c r="AY61">
        <v>132</v>
      </c>
      <c r="AZ61">
        <v>156</v>
      </c>
      <c r="BA61">
        <v>120</v>
      </c>
      <c r="BB61">
        <v>116</v>
      </c>
      <c r="BC61">
        <v>120</v>
      </c>
      <c r="BD61">
        <v>116</v>
      </c>
      <c r="BE61">
        <v>140</v>
      </c>
      <c r="BF61">
        <v>120</v>
      </c>
      <c r="BG61">
        <v>116</v>
      </c>
      <c r="BH61">
        <v>112</v>
      </c>
      <c r="BI61">
        <v>140</v>
      </c>
      <c r="BJ61">
        <v>120</v>
      </c>
      <c r="BK61">
        <v>120</v>
      </c>
      <c r="BL61">
        <v>120</v>
      </c>
      <c r="BM61">
        <v>128</v>
      </c>
      <c r="BN61">
        <v>112</v>
      </c>
    </row>
    <row r="62" spans="1:66" x14ac:dyDescent="0.3">
      <c r="A62" t="s">
        <v>87</v>
      </c>
      <c r="B62" s="35">
        <v>130.51428571428571</v>
      </c>
      <c r="C62" s="35">
        <v>2188.5714285714284</v>
      </c>
      <c r="D62" s="32">
        <f>Tabela2[[#This Row],[Média 8x8]]/MIN(Tabela2[Média 8x8]) - 1</f>
        <v>9.0735434574976015E-2</v>
      </c>
      <c r="E62" s="32">
        <f>Tabela2[[#This Row],[Média 16x16]]/MIN(Tabela2[Média 16x16]) - 1</f>
        <v>0.54124748490945662</v>
      </c>
      <c r="F62" s="19">
        <f>(Tabela2[[#This Row],[Perda 8x8]]+Tabela2[[#This Row],[Perda 16x16]])</f>
        <v>0.63198291948443264</v>
      </c>
      <c r="G62" s="3">
        <f>SUM(Tabela2[[#This Row],[Média 8x8]]+Tabela2[[#This Row],[Média 16x16]])</f>
        <v>2319.0857142857139</v>
      </c>
      <c r="I62" s="17" t="s">
        <v>93</v>
      </c>
      <c r="J62" s="34">
        <v>0.13944603629416999</v>
      </c>
      <c r="K62" s="34">
        <v>0.56659959758551004</v>
      </c>
      <c r="L62" s="34">
        <v>0.706045633879687</v>
      </c>
      <c r="Q62" t="s">
        <v>105</v>
      </c>
      <c r="R62">
        <v>144</v>
      </c>
      <c r="S62">
        <v>144</v>
      </c>
      <c r="T62">
        <v>144</v>
      </c>
      <c r="U62">
        <v>140</v>
      </c>
      <c r="V62">
        <v>152</v>
      </c>
      <c r="W62">
        <v>176</v>
      </c>
      <c r="X62">
        <v>208</v>
      </c>
      <c r="Y62">
        <v>124</v>
      </c>
      <c r="Z62">
        <v>120</v>
      </c>
      <c r="AA62">
        <v>124</v>
      </c>
      <c r="AB62">
        <v>128</v>
      </c>
      <c r="AC62">
        <v>132</v>
      </c>
      <c r="AD62">
        <v>152</v>
      </c>
      <c r="AE62">
        <v>132</v>
      </c>
      <c r="AF62">
        <v>124</v>
      </c>
      <c r="AG62">
        <v>124</v>
      </c>
      <c r="AH62">
        <v>116</v>
      </c>
      <c r="AI62">
        <v>120</v>
      </c>
      <c r="AJ62">
        <v>144</v>
      </c>
      <c r="AK62">
        <v>124</v>
      </c>
      <c r="AL62">
        <v>112</v>
      </c>
      <c r="AM62">
        <v>132</v>
      </c>
      <c r="AN62">
        <v>148</v>
      </c>
      <c r="AO62">
        <v>128</v>
      </c>
      <c r="AP62">
        <v>128</v>
      </c>
      <c r="AQ62">
        <v>128</v>
      </c>
      <c r="AR62">
        <v>136</v>
      </c>
      <c r="AS62">
        <v>120</v>
      </c>
      <c r="AT62">
        <v>124</v>
      </c>
      <c r="AU62">
        <v>144</v>
      </c>
      <c r="AV62">
        <v>120</v>
      </c>
      <c r="AW62">
        <v>116</v>
      </c>
      <c r="AX62">
        <v>148</v>
      </c>
      <c r="AY62">
        <v>112</v>
      </c>
      <c r="AZ62">
        <v>132</v>
      </c>
      <c r="BA62">
        <v>108</v>
      </c>
      <c r="BB62">
        <v>140</v>
      </c>
      <c r="BC62">
        <v>136</v>
      </c>
      <c r="BD62">
        <v>152</v>
      </c>
      <c r="BE62">
        <v>152</v>
      </c>
      <c r="BF62">
        <v>136</v>
      </c>
      <c r="BG62">
        <v>164</v>
      </c>
      <c r="BH62">
        <v>188</v>
      </c>
      <c r="BI62">
        <v>228</v>
      </c>
      <c r="BJ62">
        <v>124</v>
      </c>
      <c r="BK62">
        <v>120</v>
      </c>
      <c r="BL62">
        <v>124</v>
      </c>
      <c r="BM62">
        <v>120</v>
      </c>
      <c r="BN62">
        <v>120</v>
      </c>
    </row>
    <row r="63" spans="1:66" x14ac:dyDescent="0.3">
      <c r="A63" t="s">
        <v>89</v>
      </c>
      <c r="B63" s="35">
        <v>164.57142857142858</v>
      </c>
      <c r="C63" s="35">
        <v>1792.5714285714287</v>
      </c>
      <c r="D63" s="32">
        <f>Tabela2[[#This Row],[Média 8x8]]/MIN(Tabela2[Média 8x8]) - 1</f>
        <v>0.37535816618911189</v>
      </c>
      <c r="E63" s="32">
        <f>Tabela2[[#This Row],[Média 16x16]]/MIN(Tabela2[Média 16x16]) - 1</f>
        <v>0.26237424547283705</v>
      </c>
      <c r="F63" s="19">
        <f>(Tabela2[[#This Row],[Perda 8x8]]+Tabela2[[#This Row],[Perda 16x16]])</f>
        <v>0.63773241166194894</v>
      </c>
      <c r="G63" s="3">
        <f>SUM(Tabela2[[#This Row],[Média 8x8]]+Tabela2[[#This Row],[Média 16x16]])</f>
        <v>1957.1428571428573</v>
      </c>
      <c r="I63" s="16" t="s">
        <v>88</v>
      </c>
      <c r="J63" s="33">
        <v>0.52435530085960003</v>
      </c>
      <c r="K63" s="33">
        <v>0.40523138832998001</v>
      </c>
      <c r="L63" s="33">
        <v>0.92958668918957876</v>
      </c>
      <c r="Q63" t="s">
        <v>62</v>
      </c>
      <c r="R63">
        <v>116</v>
      </c>
      <c r="S63">
        <v>116</v>
      </c>
      <c r="T63">
        <v>144</v>
      </c>
      <c r="U63">
        <v>120</v>
      </c>
      <c r="V63">
        <v>160</v>
      </c>
      <c r="W63">
        <v>112</v>
      </c>
      <c r="X63">
        <v>108</v>
      </c>
      <c r="Y63">
        <v>128</v>
      </c>
      <c r="Z63">
        <v>116</v>
      </c>
      <c r="AA63">
        <v>140</v>
      </c>
      <c r="AB63">
        <v>144</v>
      </c>
      <c r="AC63">
        <v>132</v>
      </c>
      <c r="AD63">
        <v>136</v>
      </c>
      <c r="AE63">
        <v>144</v>
      </c>
      <c r="AF63">
        <v>156</v>
      </c>
      <c r="AG63">
        <v>184</v>
      </c>
      <c r="AH63">
        <v>180</v>
      </c>
      <c r="AI63">
        <v>196</v>
      </c>
      <c r="AJ63">
        <v>120</v>
      </c>
      <c r="AK63">
        <v>120</v>
      </c>
      <c r="AL63">
        <v>124</v>
      </c>
      <c r="AM63">
        <v>116</v>
      </c>
      <c r="AN63">
        <v>116</v>
      </c>
      <c r="AO63">
        <v>116</v>
      </c>
      <c r="AP63">
        <v>140</v>
      </c>
      <c r="AQ63">
        <v>120</v>
      </c>
      <c r="AR63">
        <v>116</v>
      </c>
      <c r="AS63">
        <v>116</v>
      </c>
      <c r="AT63">
        <v>108</v>
      </c>
      <c r="AU63">
        <v>132</v>
      </c>
      <c r="AV63">
        <v>112</v>
      </c>
      <c r="AW63">
        <v>116</v>
      </c>
      <c r="AX63">
        <v>120</v>
      </c>
      <c r="AY63">
        <v>124</v>
      </c>
      <c r="AZ63">
        <v>144</v>
      </c>
      <c r="BA63">
        <v>128</v>
      </c>
      <c r="BB63">
        <v>132</v>
      </c>
      <c r="BC63">
        <v>124</v>
      </c>
      <c r="BD63">
        <v>164</v>
      </c>
      <c r="BE63">
        <v>124</v>
      </c>
      <c r="BF63">
        <v>120</v>
      </c>
      <c r="BG63">
        <v>144</v>
      </c>
      <c r="BH63">
        <v>112</v>
      </c>
      <c r="BI63">
        <v>112</v>
      </c>
      <c r="BJ63">
        <v>148</v>
      </c>
      <c r="BK63">
        <v>116</v>
      </c>
      <c r="BL63">
        <v>140</v>
      </c>
      <c r="BM63">
        <v>120</v>
      </c>
      <c r="BN63">
        <v>140</v>
      </c>
    </row>
    <row r="64" spans="1:66" x14ac:dyDescent="0.3">
      <c r="A64" t="s">
        <v>98</v>
      </c>
      <c r="B64" s="35">
        <v>131.88571428571427</v>
      </c>
      <c r="C64" s="35">
        <v>2200</v>
      </c>
      <c r="D64" s="32">
        <f>Tabela2[[#This Row],[Média 8x8]]/MIN(Tabela2[Média 8x8]) - 1</f>
        <v>0.10219675262655192</v>
      </c>
      <c r="E64" s="32">
        <f>Tabela2[[#This Row],[Média 16x16]]/MIN(Tabela2[Média 16x16]) - 1</f>
        <v>0.54929577464788726</v>
      </c>
      <c r="F64" s="19">
        <f>(Tabela2[[#This Row],[Perda 8x8]]+Tabela2[[#This Row],[Perda 16x16]])</f>
        <v>0.65149252727443918</v>
      </c>
      <c r="G64" s="3">
        <f>SUM(Tabela2[[#This Row],[Média 8x8]]+Tabela2[[#This Row],[Média 16x16]])</f>
        <v>2331.8857142857141</v>
      </c>
      <c r="I64" s="17" t="s">
        <v>106</v>
      </c>
      <c r="J64" s="34">
        <v>0.37822349570201003</v>
      </c>
      <c r="K64" s="34">
        <v>0.57665995975855</v>
      </c>
      <c r="L64" s="34">
        <v>0.95488345546055697</v>
      </c>
      <c r="Q64" t="s">
        <v>68</v>
      </c>
      <c r="R64">
        <v>120</v>
      </c>
      <c r="S64">
        <v>120</v>
      </c>
      <c r="T64">
        <v>144</v>
      </c>
      <c r="U64">
        <v>152</v>
      </c>
      <c r="V64">
        <v>132</v>
      </c>
      <c r="W64">
        <v>128</v>
      </c>
      <c r="X64">
        <v>128</v>
      </c>
      <c r="Y64">
        <v>140</v>
      </c>
      <c r="Z64">
        <v>120</v>
      </c>
      <c r="AA64">
        <v>136</v>
      </c>
      <c r="AB64">
        <v>124</v>
      </c>
      <c r="AC64">
        <v>148</v>
      </c>
      <c r="AD64">
        <v>160</v>
      </c>
      <c r="AE64">
        <v>112</v>
      </c>
      <c r="AF64">
        <v>132</v>
      </c>
      <c r="AG64">
        <v>116</v>
      </c>
      <c r="AH64">
        <v>136</v>
      </c>
      <c r="AI64">
        <v>116</v>
      </c>
      <c r="AJ64">
        <v>136</v>
      </c>
      <c r="AK64">
        <v>124</v>
      </c>
      <c r="AL64">
        <v>132</v>
      </c>
      <c r="AM64">
        <v>128</v>
      </c>
      <c r="AN64">
        <v>164</v>
      </c>
      <c r="AO64">
        <v>136</v>
      </c>
      <c r="AP64">
        <v>140</v>
      </c>
      <c r="AQ64">
        <v>168</v>
      </c>
      <c r="AR64">
        <v>248</v>
      </c>
      <c r="AS64">
        <v>120</v>
      </c>
      <c r="AT64">
        <v>120</v>
      </c>
      <c r="AU64">
        <v>124</v>
      </c>
      <c r="AV64">
        <v>124</v>
      </c>
      <c r="AW64">
        <v>140</v>
      </c>
      <c r="AX64">
        <v>136</v>
      </c>
      <c r="AY64">
        <v>160</v>
      </c>
      <c r="AZ64">
        <v>124</v>
      </c>
      <c r="BA64">
        <v>120</v>
      </c>
      <c r="BB64">
        <v>124</v>
      </c>
      <c r="BC64">
        <v>112</v>
      </c>
      <c r="BD64">
        <v>108</v>
      </c>
      <c r="BE64">
        <v>132</v>
      </c>
      <c r="BF64">
        <v>116</v>
      </c>
      <c r="BG64">
        <v>120</v>
      </c>
      <c r="BH64">
        <v>108</v>
      </c>
      <c r="BI64">
        <v>108</v>
      </c>
      <c r="BJ64">
        <v>124</v>
      </c>
      <c r="BK64">
        <v>108</v>
      </c>
      <c r="BL64">
        <v>116</v>
      </c>
      <c r="BM64">
        <v>144</v>
      </c>
      <c r="BN64">
        <v>136</v>
      </c>
    </row>
    <row r="65" spans="1:66" x14ac:dyDescent="0.3">
      <c r="A65" t="s">
        <v>108</v>
      </c>
      <c r="B65" s="35">
        <v>172.45714285714286</v>
      </c>
      <c r="C65" s="35">
        <v>1723.4285714285713</v>
      </c>
      <c r="D65" s="32">
        <f>Tabela2[[#This Row],[Média 8x8]]/MIN(Tabela2[Média 8x8]) - 1</f>
        <v>0.44126074498567336</v>
      </c>
      <c r="E65" s="32">
        <f>Tabela2[[#This Row],[Média 16x16]]/MIN(Tabela2[Média 16x16]) - 1</f>
        <v>0.21368209255533199</v>
      </c>
      <c r="F65" s="19">
        <f>(Tabela2[[#This Row],[Perda 8x8]]+Tabela2[[#This Row],[Perda 16x16]])</f>
        <v>0.65494283754100535</v>
      </c>
      <c r="G65" s="3">
        <f>SUM(Tabela2[[#This Row],[Média 8x8]]+Tabela2[[#This Row],[Média 16x16]])</f>
        <v>1895.8857142857141</v>
      </c>
      <c r="I65" s="16" t="s">
        <v>79</v>
      </c>
      <c r="J65" s="33">
        <v>0.35148042024832998</v>
      </c>
      <c r="K65" s="33">
        <v>0.64708249496981995</v>
      </c>
      <c r="L65" s="33">
        <v>0.99856291521814722</v>
      </c>
      <c r="Q65" t="s">
        <v>92</v>
      </c>
      <c r="R65">
        <v>140</v>
      </c>
      <c r="S65">
        <v>120</v>
      </c>
      <c r="T65">
        <v>112</v>
      </c>
      <c r="U65">
        <v>116</v>
      </c>
      <c r="V65">
        <v>140</v>
      </c>
      <c r="W65">
        <v>124</v>
      </c>
      <c r="X65">
        <v>120</v>
      </c>
      <c r="Y65">
        <v>116</v>
      </c>
      <c r="Z65">
        <v>140</v>
      </c>
      <c r="AA65">
        <v>120</v>
      </c>
      <c r="AB65">
        <v>116</v>
      </c>
      <c r="AC65">
        <v>136</v>
      </c>
      <c r="AD65">
        <v>124</v>
      </c>
      <c r="AE65">
        <v>136</v>
      </c>
      <c r="AF65">
        <v>144</v>
      </c>
      <c r="AG65">
        <v>128</v>
      </c>
      <c r="AH65">
        <v>144</v>
      </c>
      <c r="AI65">
        <v>128</v>
      </c>
      <c r="AJ65">
        <v>140</v>
      </c>
      <c r="AK65">
        <v>148</v>
      </c>
      <c r="AL65">
        <v>140</v>
      </c>
      <c r="AM65">
        <v>132</v>
      </c>
      <c r="AN65">
        <v>140</v>
      </c>
      <c r="AO65">
        <v>156</v>
      </c>
      <c r="AP65">
        <v>176</v>
      </c>
      <c r="AQ65">
        <v>200</v>
      </c>
      <c r="AR65">
        <v>128</v>
      </c>
      <c r="AS65">
        <v>132</v>
      </c>
      <c r="AT65">
        <v>124</v>
      </c>
      <c r="AU65">
        <v>124</v>
      </c>
      <c r="AV65">
        <v>144</v>
      </c>
      <c r="AW65">
        <v>120</v>
      </c>
      <c r="AX65">
        <v>120</v>
      </c>
      <c r="AY65">
        <v>124</v>
      </c>
      <c r="AZ65">
        <v>116</v>
      </c>
      <c r="BA65">
        <v>144</v>
      </c>
      <c r="BB65">
        <v>124</v>
      </c>
      <c r="BC65">
        <v>120</v>
      </c>
      <c r="BD65">
        <v>140</v>
      </c>
      <c r="BE65">
        <v>132</v>
      </c>
      <c r="BF65">
        <v>240</v>
      </c>
      <c r="BG65">
        <v>136</v>
      </c>
      <c r="BH65">
        <v>116</v>
      </c>
      <c r="BI65">
        <v>116</v>
      </c>
      <c r="BJ65">
        <v>136</v>
      </c>
      <c r="BK65">
        <v>120</v>
      </c>
      <c r="BL65">
        <v>144</v>
      </c>
      <c r="BM65">
        <v>136</v>
      </c>
      <c r="BN65">
        <v>156</v>
      </c>
    </row>
    <row r="66" spans="1:66" x14ac:dyDescent="0.3">
      <c r="A66" t="s">
        <v>99</v>
      </c>
      <c r="B66" s="35">
        <v>146.28571428571428</v>
      </c>
      <c r="C66" s="35">
        <v>2048.5714285714284</v>
      </c>
      <c r="D66" s="32">
        <f>Tabela2[[#This Row],[Média 8x8]]/MIN(Tabela2[Média 8x8]) - 1</f>
        <v>0.22254059216809918</v>
      </c>
      <c r="E66" s="32">
        <f>Tabela2[[#This Row],[Média 16x16]]/MIN(Tabela2[Média 16x16]) - 1</f>
        <v>0.44265593561368211</v>
      </c>
      <c r="F66" s="19">
        <f>(Tabela2[[#This Row],[Perda 8x8]]+Tabela2[[#This Row],[Perda 16x16]])</f>
        <v>0.66519652778178129</v>
      </c>
      <c r="G66" s="3">
        <f>SUM(Tabela2[[#This Row],[Média 8x8]]+Tabela2[[#This Row],[Média 16x16]])</f>
        <v>2194.8571428571427</v>
      </c>
      <c r="I66" s="17" t="s">
        <v>91</v>
      </c>
      <c r="J66" s="34">
        <v>0.20152817574021001</v>
      </c>
      <c r="K66" s="34">
        <v>0.95613682092554997</v>
      </c>
      <c r="L66" s="34">
        <v>1.1576649966657637</v>
      </c>
      <c r="Q66" t="s">
        <v>87</v>
      </c>
      <c r="R66">
        <v>116</v>
      </c>
      <c r="S66">
        <v>116</v>
      </c>
      <c r="T66">
        <v>140</v>
      </c>
      <c r="U66">
        <v>124</v>
      </c>
      <c r="V66">
        <v>144</v>
      </c>
      <c r="W66">
        <v>132</v>
      </c>
      <c r="X66">
        <v>108</v>
      </c>
      <c r="Y66">
        <v>136</v>
      </c>
      <c r="Z66">
        <v>128</v>
      </c>
      <c r="AA66">
        <v>160</v>
      </c>
      <c r="AB66">
        <v>180</v>
      </c>
      <c r="AC66">
        <v>172</v>
      </c>
      <c r="AD66">
        <v>216</v>
      </c>
      <c r="AE66">
        <v>116</v>
      </c>
      <c r="AF66">
        <v>120</v>
      </c>
      <c r="AG66">
        <v>116</v>
      </c>
      <c r="AH66">
        <v>112</v>
      </c>
      <c r="AI66">
        <v>112</v>
      </c>
      <c r="AJ66">
        <v>128</v>
      </c>
      <c r="AK66">
        <v>112</v>
      </c>
      <c r="AL66">
        <v>120</v>
      </c>
      <c r="AM66">
        <v>128</v>
      </c>
      <c r="AN66">
        <v>164</v>
      </c>
      <c r="AO66">
        <v>136</v>
      </c>
      <c r="AP66">
        <v>136</v>
      </c>
      <c r="AQ66">
        <v>120</v>
      </c>
      <c r="AR66">
        <v>160</v>
      </c>
      <c r="AS66">
        <v>120</v>
      </c>
      <c r="AT66">
        <v>116</v>
      </c>
      <c r="AU66">
        <v>120</v>
      </c>
      <c r="AV66">
        <v>140</v>
      </c>
      <c r="AW66">
        <v>136</v>
      </c>
      <c r="AX66">
        <v>132</v>
      </c>
      <c r="AY66">
        <v>120</v>
      </c>
      <c r="AZ66">
        <v>116</v>
      </c>
      <c r="BA66">
        <v>148</v>
      </c>
      <c r="BB66">
        <v>116</v>
      </c>
      <c r="BC66">
        <v>144</v>
      </c>
      <c r="BD66">
        <v>136</v>
      </c>
      <c r="BE66">
        <v>128</v>
      </c>
      <c r="BF66">
        <v>132</v>
      </c>
      <c r="BG66">
        <v>152</v>
      </c>
      <c r="BH66">
        <v>132</v>
      </c>
      <c r="BI66">
        <v>168</v>
      </c>
      <c r="BJ66">
        <v>244</v>
      </c>
      <c r="BK66">
        <v>120</v>
      </c>
      <c r="BL66">
        <v>148</v>
      </c>
      <c r="BM66">
        <v>120</v>
      </c>
      <c r="BN66">
        <v>124</v>
      </c>
    </row>
    <row r="67" spans="1:66" x14ac:dyDescent="0.3">
      <c r="A67" t="s">
        <v>42</v>
      </c>
      <c r="B67" s="35">
        <v>122.17142857142858</v>
      </c>
      <c r="C67" s="35">
        <v>2337.7142857142858</v>
      </c>
      <c r="D67" s="32">
        <f>Tabela2[[#This Row],[Média 8x8]]/MIN(Tabela2[Média 8x8]) - 1</f>
        <v>2.1012416427889313E-2</v>
      </c>
      <c r="E67" s="32">
        <f>Tabela2[[#This Row],[Média 16x16]]/MIN(Tabela2[Média 16x16]) - 1</f>
        <v>0.64627766599597591</v>
      </c>
      <c r="F67" s="19">
        <f>(Tabela2[[#This Row],[Perda 8x8]]+Tabela2[[#This Row],[Perda 16x16]])</f>
        <v>0.66729008242386523</v>
      </c>
      <c r="G67" s="3">
        <f>SUM(Tabela2[[#This Row],[Média 8x8]]+Tabela2[[#This Row],[Média 16x16]])</f>
        <v>2459.8857142857141</v>
      </c>
      <c r="I67" s="16" t="s">
        <v>68</v>
      </c>
      <c r="J67" s="33">
        <v>7.2588347659979999E-2</v>
      </c>
      <c r="K67" s="33">
        <v>1.8559356136820899</v>
      </c>
      <c r="L67" s="33">
        <v>1.9285239613420737</v>
      </c>
      <c r="Q67" t="s">
        <v>96</v>
      </c>
      <c r="R67">
        <v>148</v>
      </c>
      <c r="S67">
        <v>120</v>
      </c>
      <c r="T67">
        <v>140</v>
      </c>
      <c r="U67">
        <v>132</v>
      </c>
      <c r="V67">
        <v>144</v>
      </c>
      <c r="W67">
        <v>132</v>
      </c>
      <c r="X67">
        <v>140</v>
      </c>
      <c r="Y67">
        <v>132</v>
      </c>
      <c r="Z67">
        <v>184</v>
      </c>
      <c r="AA67">
        <v>172</v>
      </c>
      <c r="AB67">
        <v>224</v>
      </c>
      <c r="AC67">
        <v>120</v>
      </c>
      <c r="AD67">
        <v>120</v>
      </c>
      <c r="AE67">
        <v>132</v>
      </c>
      <c r="AF67">
        <v>120</v>
      </c>
      <c r="AG67">
        <v>144</v>
      </c>
      <c r="AH67">
        <v>108</v>
      </c>
      <c r="AI67">
        <v>116</v>
      </c>
      <c r="AJ67">
        <v>144</v>
      </c>
      <c r="AK67">
        <v>116</v>
      </c>
      <c r="AL67">
        <v>112</v>
      </c>
      <c r="AM67">
        <v>108</v>
      </c>
      <c r="AN67">
        <v>140</v>
      </c>
      <c r="AO67">
        <v>120</v>
      </c>
      <c r="AP67">
        <v>128</v>
      </c>
      <c r="AQ67">
        <v>112</v>
      </c>
      <c r="AR67">
        <v>140</v>
      </c>
      <c r="AS67">
        <v>112</v>
      </c>
      <c r="AT67">
        <v>132</v>
      </c>
      <c r="AU67">
        <v>124</v>
      </c>
      <c r="AV67">
        <v>132</v>
      </c>
      <c r="AW67">
        <v>164</v>
      </c>
      <c r="AX67">
        <v>156</v>
      </c>
      <c r="AY67">
        <v>168</v>
      </c>
      <c r="AZ67">
        <v>156</v>
      </c>
      <c r="BA67">
        <v>172</v>
      </c>
      <c r="BB67">
        <v>228</v>
      </c>
      <c r="BC67">
        <v>140</v>
      </c>
      <c r="BD67">
        <v>116</v>
      </c>
      <c r="BE67">
        <v>120</v>
      </c>
      <c r="BF67">
        <v>148</v>
      </c>
      <c r="BG67">
        <v>120</v>
      </c>
      <c r="BH67">
        <v>120</v>
      </c>
      <c r="BI67">
        <v>120</v>
      </c>
      <c r="BJ67">
        <v>140</v>
      </c>
      <c r="BK67">
        <v>116</v>
      </c>
      <c r="BL67">
        <v>120</v>
      </c>
      <c r="BM67">
        <v>144</v>
      </c>
      <c r="BN67">
        <v>116</v>
      </c>
    </row>
    <row r="68" spans="1:66" x14ac:dyDescent="0.3">
      <c r="A68" t="s">
        <v>60</v>
      </c>
      <c r="B68" s="35">
        <v>126.97142857142858</v>
      </c>
      <c r="C68" s="35">
        <v>2293.7142857142858</v>
      </c>
      <c r="D68" s="32">
        <f>Tabela2[[#This Row],[Média 8x8]]/MIN(Tabela2[Média 8x8]) - 1</f>
        <v>6.1127029608404992E-2</v>
      </c>
      <c r="E68" s="32">
        <f>Tabela2[[#This Row],[Média 16x16]]/MIN(Tabela2[Média 16x16]) - 1</f>
        <v>0.61529175050301821</v>
      </c>
      <c r="F68" s="19">
        <f>(Tabela2[[#This Row],[Perda 8x8]]+Tabela2[[#This Row],[Perda 16x16]])</f>
        <v>0.6764187801114232</v>
      </c>
      <c r="G68" s="3">
        <f>SUM(Tabela2[[#This Row],[Média 8x8]]+Tabela2[[#This Row],[Média 16x16]])</f>
        <v>2420.6857142857143</v>
      </c>
      <c r="J68"/>
      <c r="K68"/>
      <c r="Q68" t="s">
        <v>67</v>
      </c>
      <c r="R68">
        <v>140</v>
      </c>
      <c r="S68">
        <v>136</v>
      </c>
      <c r="T68">
        <v>136</v>
      </c>
      <c r="U68">
        <v>160</v>
      </c>
      <c r="V68">
        <v>196</v>
      </c>
      <c r="W68">
        <v>224</v>
      </c>
      <c r="X68">
        <v>120</v>
      </c>
      <c r="Y68">
        <v>116</v>
      </c>
      <c r="Z68">
        <v>112</v>
      </c>
      <c r="AA68">
        <v>116</v>
      </c>
      <c r="AB68">
        <v>144</v>
      </c>
      <c r="AC68">
        <v>112</v>
      </c>
      <c r="AD68">
        <v>116</v>
      </c>
      <c r="AE68">
        <v>116</v>
      </c>
      <c r="AF68">
        <v>136</v>
      </c>
      <c r="AG68">
        <v>120</v>
      </c>
      <c r="AH68">
        <v>120</v>
      </c>
      <c r="AI68">
        <v>128</v>
      </c>
      <c r="AJ68">
        <v>152</v>
      </c>
      <c r="AK68">
        <v>136</v>
      </c>
      <c r="AL68">
        <v>144</v>
      </c>
      <c r="AM68">
        <v>116</v>
      </c>
      <c r="AN68">
        <v>132</v>
      </c>
      <c r="AO68">
        <v>148</v>
      </c>
      <c r="AP68">
        <v>124</v>
      </c>
      <c r="AQ68">
        <v>196</v>
      </c>
      <c r="AR68">
        <v>116</v>
      </c>
      <c r="AS68">
        <v>148</v>
      </c>
      <c r="AT68">
        <v>136</v>
      </c>
      <c r="AU68">
        <v>136</v>
      </c>
      <c r="AV68">
        <v>136</v>
      </c>
      <c r="AW68">
        <v>172</v>
      </c>
      <c r="AX68">
        <v>160</v>
      </c>
      <c r="AY68">
        <v>252</v>
      </c>
      <c r="AZ68">
        <v>112</v>
      </c>
      <c r="BA68">
        <v>112</v>
      </c>
      <c r="BB68">
        <v>112</v>
      </c>
      <c r="BC68">
        <v>108</v>
      </c>
      <c r="BD68">
        <v>128</v>
      </c>
      <c r="BE68">
        <v>108</v>
      </c>
      <c r="BF68">
        <v>108</v>
      </c>
      <c r="BG68">
        <v>108</v>
      </c>
      <c r="BH68">
        <v>140</v>
      </c>
      <c r="BI68">
        <v>108</v>
      </c>
      <c r="BJ68">
        <v>108</v>
      </c>
      <c r="BK68">
        <v>136</v>
      </c>
      <c r="BL68">
        <v>104</v>
      </c>
      <c r="BM68">
        <v>112</v>
      </c>
      <c r="BN68">
        <v>140</v>
      </c>
    </row>
    <row r="69" spans="1:66" x14ac:dyDescent="0.3">
      <c r="A69" t="s">
        <v>70</v>
      </c>
      <c r="B69" s="35">
        <v>128.45714285714286</v>
      </c>
      <c r="C69" s="35">
        <v>2281.7142857142858</v>
      </c>
      <c r="D69" s="32">
        <f>Tabela2[[#This Row],[Média 8x8]]/MIN(Tabela2[Média 8x8]) - 1</f>
        <v>7.3543457497612152E-2</v>
      </c>
      <c r="E69" s="32">
        <f>Tabela2[[#This Row],[Média 16x16]]/MIN(Tabela2[Média 16x16]) - 1</f>
        <v>0.60684104627766611</v>
      </c>
      <c r="F69" s="19">
        <f>(Tabela2[[#This Row],[Perda 8x8]]+Tabela2[[#This Row],[Perda 16x16]])</f>
        <v>0.68038450377527826</v>
      </c>
      <c r="G69" s="3">
        <f>SUM(Tabela2[[#This Row],[Média 8x8]]+Tabela2[[#This Row],[Média 16x16]])</f>
        <v>2410.1714285714288</v>
      </c>
      <c r="J69"/>
      <c r="K69"/>
      <c r="Q69" t="s">
        <v>98</v>
      </c>
      <c r="R69">
        <v>132</v>
      </c>
      <c r="S69">
        <v>124</v>
      </c>
      <c r="T69">
        <v>128</v>
      </c>
      <c r="U69">
        <v>124</v>
      </c>
      <c r="V69">
        <v>152</v>
      </c>
      <c r="W69">
        <v>128</v>
      </c>
      <c r="X69">
        <v>124</v>
      </c>
      <c r="Y69">
        <v>128</v>
      </c>
      <c r="Z69">
        <v>128</v>
      </c>
      <c r="AA69">
        <v>128</v>
      </c>
      <c r="AB69">
        <v>140</v>
      </c>
      <c r="AC69">
        <v>124</v>
      </c>
      <c r="AD69">
        <v>116</v>
      </c>
      <c r="AE69">
        <v>124</v>
      </c>
      <c r="AF69">
        <v>144</v>
      </c>
      <c r="AG69">
        <v>120</v>
      </c>
      <c r="AH69">
        <v>128</v>
      </c>
      <c r="AI69">
        <v>136</v>
      </c>
      <c r="AJ69">
        <v>144</v>
      </c>
      <c r="AK69">
        <v>128</v>
      </c>
      <c r="AL69">
        <v>128</v>
      </c>
      <c r="AM69">
        <v>140</v>
      </c>
      <c r="AN69">
        <v>144</v>
      </c>
      <c r="AO69">
        <v>120</v>
      </c>
      <c r="AP69">
        <v>144</v>
      </c>
      <c r="AQ69">
        <v>128</v>
      </c>
      <c r="AR69">
        <v>140</v>
      </c>
      <c r="AS69">
        <v>120</v>
      </c>
      <c r="AT69">
        <v>132</v>
      </c>
      <c r="AU69">
        <v>140</v>
      </c>
      <c r="AV69">
        <v>144</v>
      </c>
      <c r="AW69">
        <v>144</v>
      </c>
      <c r="AX69">
        <v>156</v>
      </c>
      <c r="AY69">
        <v>160</v>
      </c>
      <c r="AZ69">
        <v>204</v>
      </c>
      <c r="BA69">
        <v>124</v>
      </c>
      <c r="BB69">
        <v>200</v>
      </c>
      <c r="BC69">
        <v>128</v>
      </c>
      <c r="BD69">
        <v>128</v>
      </c>
      <c r="BE69">
        <v>128</v>
      </c>
      <c r="BF69">
        <v>128</v>
      </c>
      <c r="BG69">
        <v>128</v>
      </c>
      <c r="BH69">
        <v>156</v>
      </c>
      <c r="BI69">
        <v>128</v>
      </c>
      <c r="BJ69">
        <v>124</v>
      </c>
      <c r="BK69">
        <v>124</v>
      </c>
      <c r="BL69">
        <v>124</v>
      </c>
      <c r="BM69">
        <v>128</v>
      </c>
      <c r="BN69">
        <v>148</v>
      </c>
    </row>
    <row r="70" spans="1:66" x14ac:dyDescent="0.3">
      <c r="A70" t="s">
        <v>93</v>
      </c>
      <c r="B70" s="35">
        <v>136.34285714285716</v>
      </c>
      <c r="C70" s="35">
        <v>2224.5714285714284</v>
      </c>
      <c r="D70" s="32">
        <f>Tabela2[[#This Row],[Média 8x8]]/MIN(Tabela2[Média 8x8]) - 1</f>
        <v>0.13944603629417385</v>
      </c>
      <c r="E70" s="32">
        <f>Tabela2[[#This Row],[Média 16x16]]/MIN(Tabela2[Média 16x16]) - 1</f>
        <v>0.56659959758551293</v>
      </c>
      <c r="F70" s="19">
        <f>(Tabela2[[#This Row],[Perda 8x8]]+Tabela2[[#This Row],[Perda 16x16]])</f>
        <v>0.70604563387968677</v>
      </c>
      <c r="G70" s="3">
        <f>SUM(Tabela2[[#This Row],[Média 8x8]]+Tabela2[[#This Row],[Média 16x16]])</f>
        <v>2360.9142857142856</v>
      </c>
      <c r="J70"/>
      <c r="K70"/>
      <c r="Q70" t="s">
        <v>54</v>
      </c>
      <c r="R70">
        <v>120</v>
      </c>
      <c r="S70">
        <v>116</v>
      </c>
      <c r="T70">
        <v>144</v>
      </c>
      <c r="U70">
        <v>120</v>
      </c>
      <c r="V70">
        <v>128</v>
      </c>
      <c r="W70">
        <v>120</v>
      </c>
      <c r="X70">
        <v>116</v>
      </c>
      <c r="Y70">
        <v>116</v>
      </c>
      <c r="Z70">
        <v>112</v>
      </c>
      <c r="AA70">
        <v>136</v>
      </c>
      <c r="AB70">
        <v>120</v>
      </c>
      <c r="AC70">
        <v>132</v>
      </c>
      <c r="AD70">
        <v>116</v>
      </c>
      <c r="AE70">
        <v>112</v>
      </c>
      <c r="AF70">
        <v>144</v>
      </c>
      <c r="AG70">
        <v>112</v>
      </c>
      <c r="AH70">
        <v>112</v>
      </c>
      <c r="AI70">
        <v>120</v>
      </c>
      <c r="AJ70">
        <v>112</v>
      </c>
      <c r="AK70">
        <v>140</v>
      </c>
      <c r="AL70">
        <v>120</v>
      </c>
      <c r="AM70">
        <v>116</v>
      </c>
      <c r="AN70">
        <v>116</v>
      </c>
      <c r="AO70">
        <v>136</v>
      </c>
      <c r="AP70">
        <v>112</v>
      </c>
      <c r="AQ70">
        <v>120</v>
      </c>
      <c r="AR70">
        <v>144</v>
      </c>
      <c r="AS70">
        <v>116</v>
      </c>
      <c r="AT70">
        <v>124</v>
      </c>
      <c r="AU70">
        <v>140</v>
      </c>
      <c r="AV70">
        <v>120</v>
      </c>
      <c r="AW70">
        <v>140</v>
      </c>
      <c r="AX70">
        <v>116</v>
      </c>
      <c r="AY70">
        <v>136</v>
      </c>
      <c r="AZ70">
        <v>132</v>
      </c>
      <c r="BA70">
        <v>120</v>
      </c>
      <c r="BB70">
        <v>128</v>
      </c>
      <c r="BC70">
        <v>188</v>
      </c>
      <c r="BD70">
        <v>156</v>
      </c>
      <c r="BE70">
        <v>160</v>
      </c>
      <c r="BF70">
        <v>200</v>
      </c>
      <c r="BG70">
        <v>124</v>
      </c>
      <c r="BH70">
        <v>128</v>
      </c>
      <c r="BI70">
        <v>120</v>
      </c>
      <c r="BJ70">
        <v>116</v>
      </c>
      <c r="BK70">
        <v>120</v>
      </c>
      <c r="BL70">
        <v>132</v>
      </c>
      <c r="BM70">
        <v>120</v>
      </c>
      <c r="BN70">
        <v>148</v>
      </c>
    </row>
    <row r="71" spans="1:66" x14ac:dyDescent="0.3">
      <c r="A71" t="s">
        <v>112</v>
      </c>
      <c r="B71" s="35">
        <v>146.85714285714286</v>
      </c>
      <c r="C71" s="35">
        <v>2108.5714285714284</v>
      </c>
      <c r="D71" s="32">
        <f>Tabela2[[#This Row],[Média 8x8]]/MIN(Tabela2[Média 8x8]) - 1</f>
        <v>0.22731614135625589</v>
      </c>
      <c r="E71" s="32">
        <f>Tabela2[[#This Row],[Média 16x16]]/MIN(Tabela2[Média 16x16]) - 1</f>
        <v>0.48490945674044261</v>
      </c>
      <c r="F71" s="19">
        <f>(Tabela2[[#This Row],[Perda 8x8]]+Tabela2[[#This Row],[Perda 16x16]])</f>
        <v>0.7122255980966985</v>
      </c>
      <c r="G71" s="3">
        <f>SUM(Tabela2[[#This Row],[Média 8x8]]+Tabela2[[#This Row],[Média 16x16]])</f>
        <v>2255.4285714285711</v>
      </c>
      <c r="J71"/>
      <c r="K71"/>
      <c r="Q71" t="s">
        <v>59</v>
      </c>
      <c r="R71">
        <v>144</v>
      </c>
      <c r="S71">
        <v>144</v>
      </c>
      <c r="T71">
        <v>176</v>
      </c>
      <c r="U71">
        <v>204</v>
      </c>
      <c r="V71">
        <v>244</v>
      </c>
      <c r="W71">
        <v>116</v>
      </c>
      <c r="X71">
        <v>132</v>
      </c>
      <c r="Y71">
        <v>120</v>
      </c>
      <c r="Z71">
        <v>120</v>
      </c>
      <c r="AA71">
        <v>120</v>
      </c>
      <c r="AB71">
        <v>124</v>
      </c>
      <c r="AC71">
        <v>120</v>
      </c>
      <c r="AD71">
        <v>140</v>
      </c>
      <c r="AE71">
        <v>132</v>
      </c>
      <c r="AF71">
        <v>136</v>
      </c>
      <c r="AG71">
        <v>184</v>
      </c>
      <c r="AH71">
        <v>124</v>
      </c>
      <c r="AI71">
        <v>136</v>
      </c>
      <c r="AJ71">
        <v>120</v>
      </c>
      <c r="AK71">
        <v>120</v>
      </c>
      <c r="AL71">
        <v>124</v>
      </c>
      <c r="AM71">
        <v>120</v>
      </c>
      <c r="AN71">
        <v>120</v>
      </c>
      <c r="AO71">
        <v>116</v>
      </c>
      <c r="AP71">
        <v>164</v>
      </c>
      <c r="AQ71">
        <v>120</v>
      </c>
      <c r="AR71">
        <v>200</v>
      </c>
      <c r="AS71">
        <v>124</v>
      </c>
      <c r="AT71">
        <v>120</v>
      </c>
      <c r="AU71">
        <v>124</v>
      </c>
      <c r="AV71">
        <v>116</v>
      </c>
      <c r="AW71">
        <v>132</v>
      </c>
      <c r="AX71">
        <v>168</v>
      </c>
      <c r="AY71">
        <v>116</v>
      </c>
      <c r="AZ71">
        <v>112</v>
      </c>
      <c r="BA71">
        <v>116</v>
      </c>
      <c r="BB71">
        <v>112</v>
      </c>
      <c r="BC71">
        <v>112</v>
      </c>
      <c r="BD71">
        <v>156</v>
      </c>
      <c r="BE71">
        <v>116</v>
      </c>
      <c r="BF71">
        <v>128</v>
      </c>
      <c r="BG71">
        <v>120</v>
      </c>
      <c r="BH71">
        <v>120</v>
      </c>
      <c r="BI71">
        <v>156</v>
      </c>
      <c r="BJ71">
        <v>120</v>
      </c>
      <c r="BK71">
        <v>120</v>
      </c>
      <c r="BL71">
        <v>116</v>
      </c>
      <c r="BM71">
        <v>112</v>
      </c>
      <c r="BN71">
        <v>140</v>
      </c>
    </row>
    <row r="72" spans="1:66" x14ac:dyDescent="0.3">
      <c r="A72" t="s">
        <v>103</v>
      </c>
      <c r="B72" s="35">
        <v>159.42857142857142</v>
      </c>
      <c r="C72" s="35">
        <v>2116.5714285714284</v>
      </c>
      <c r="D72" s="32">
        <f>Tabela2[[#This Row],[Média 8x8]]/MIN(Tabela2[Média 8x8]) - 1</f>
        <v>0.33237822349570179</v>
      </c>
      <c r="E72" s="32">
        <f>Tabela2[[#This Row],[Média 16x16]]/MIN(Tabela2[Média 16x16]) - 1</f>
        <v>0.49054325955734401</v>
      </c>
      <c r="F72" s="19">
        <f>(Tabela2[[#This Row],[Perda 8x8]]+Tabela2[[#This Row],[Perda 16x16]])</f>
        <v>0.8229214830530458</v>
      </c>
      <c r="G72" s="3">
        <f>SUM(Tabela2[[#This Row],[Média 8x8]]+Tabela2[[#This Row],[Média 16x16]])</f>
        <v>2276</v>
      </c>
      <c r="J72"/>
      <c r="K72"/>
      <c r="Q72" t="s">
        <v>52</v>
      </c>
      <c r="R72">
        <v>124</v>
      </c>
      <c r="S72">
        <v>116</v>
      </c>
      <c r="T72">
        <v>128</v>
      </c>
      <c r="U72">
        <v>128</v>
      </c>
      <c r="V72">
        <v>124</v>
      </c>
      <c r="W72">
        <v>128</v>
      </c>
      <c r="X72">
        <v>136</v>
      </c>
      <c r="Y72">
        <v>120</v>
      </c>
      <c r="Z72">
        <v>128</v>
      </c>
      <c r="AA72">
        <v>176</v>
      </c>
      <c r="AB72">
        <v>120</v>
      </c>
      <c r="AC72">
        <v>120</v>
      </c>
      <c r="AD72">
        <v>116</v>
      </c>
      <c r="AE72">
        <v>112</v>
      </c>
      <c r="AF72">
        <v>108</v>
      </c>
      <c r="AG72">
        <v>116</v>
      </c>
      <c r="AH72">
        <v>116</v>
      </c>
      <c r="AI72">
        <v>148</v>
      </c>
      <c r="AJ72">
        <v>108</v>
      </c>
      <c r="AK72">
        <v>112</v>
      </c>
      <c r="AL72">
        <v>108</v>
      </c>
      <c r="AM72">
        <v>108</v>
      </c>
      <c r="AN72">
        <v>108</v>
      </c>
      <c r="AO72">
        <v>144</v>
      </c>
      <c r="AP72">
        <v>120</v>
      </c>
      <c r="AQ72">
        <v>120</v>
      </c>
      <c r="AR72">
        <v>116</v>
      </c>
      <c r="AS72">
        <v>120</v>
      </c>
      <c r="AT72">
        <v>116</v>
      </c>
      <c r="AU72">
        <v>152</v>
      </c>
      <c r="AV72">
        <v>124</v>
      </c>
      <c r="AW72">
        <v>124</v>
      </c>
      <c r="AX72">
        <v>140</v>
      </c>
      <c r="AY72">
        <v>136</v>
      </c>
      <c r="AZ72">
        <v>172</v>
      </c>
      <c r="BA72">
        <v>176</v>
      </c>
      <c r="BB72">
        <v>124</v>
      </c>
      <c r="BC72">
        <v>144</v>
      </c>
      <c r="BD72">
        <v>120</v>
      </c>
      <c r="BE72">
        <v>120</v>
      </c>
      <c r="BF72">
        <v>144</v>
      </c>
      <c r="BG72">
        <v>112</v>
      </c>
      <c r="BH72">
        <v>112</v>
      </c>
      <c r="BI72">
        <v>136</v>
      </c>
      <c r="BJ72">
        <v>108</v>
      </c>
      <c r="BK72">
        <v>140</v>
      </c>
      <c r="BL72">
        <v>120</v>
      </c>
      <c r="BM72">
        <v>140</v>
      </c>
      <c r="BN72">
        <v>132</v>
      </c>
    </row>
    <row r="73" spans="1:66" x14ac:dyDescent="0.3">
      <c r="A73" t="s">
        <v>66</v>
      </c>
      <c r="B73" s="35">
        <v>127.77142857142857</v>
      </c>
      <c r="C73" s="35">
        <v>2548.5714285714284</v>
      </c>
      <c r="D73" s="32">
        <f>Tabela2[[#This Row],[Média 8x8]]/MIN(Tabela2[Média 8x8]) - 1</f>
        <v>6.7812798471824198E-2</v>
      </c>
      <c r="E73" s="32">
        <f>Tabela2[[#This Row],[Média 16x16]]/MIN(Tabela2[Média 16x16]) - 1</f>
        <v>0.79476861167002011</v>
      </c>
      <c r="F73" s="19">
        <f>(Tabela2[[#This Row],[Perda 8x8]]+Tabela2[[#This Row],[Perda 16x16]])</f>
        <v>0.86258141014184431</v>
      </c>
      <c r="G73" s="3">
        <f>SUM(Tabela2[[#This Row],[Média 8x8]]+Tabela2[[#This Row],[Média 16x16]])</f>
        <v>2676.3428571428572</v>
      </c>
      <c r="J73"/>
      <c r="K73"/>
      <c r="Q73" t="s">
        <v>90</v>
      </c>
      <c r="R73">
        <v>164</v>
      </c>
      <c r="S73">
        <v>116</v>
      </c>
      <c r="T73">
        <v>116</v>
      </c>
      <c r="U73">
        <v>112</v>
      </c>
      <c r="V73">
        <v>112</v>
      </c>
      <c r="W73">
        <v>120</v>
      </c>
      <c r="X73">
        <v>148</v>
      </c>
      <c r="Y73">
        <v>120</v>
      </c>
      <c r="Z73">
        <v>112</v>
      </c>
      <c r="AA73">
        <v>116</v>
      </c>
      <c r="AB73">
        <v>124</v>
      </c>
      <c r="AC73">
        <v>148</v>
      </c>
      <c r="AD73">
        <v>144</v>
      </c>
      <c r="AE73">
        <v>116</v>
      </c>
      <c r="AF73">
        <v>112</v>
      </c>
      <c r="AG73">
        <v>120</v>
      </c>
      <c r="AH73">
        <v>124</v>
      </c>
      <c r="AI73">
        <v>196</v>
      </c>
      <c r="AJ73">
        <v>156</v>
      </c>
      <c r="AK73">
        <v>152</v>
      </c>
      <c r="AL73">
        <v>124</v>
      </c>
      <c r="AM73">
        <v>148</v>
      </c>
      <c r="AN73">
        <v>144</v>
      </c>
      <c r="AO73">
        <v>144</v>
      </c>
      <c r="AP73">
        <v>164</v>
      </c>
      <c r="AQ73">
        <v>140</v>
      </c>
      <c r="AR73">
        <v>124</v>
      </c>
      <c r="AS73">
        <v>148</v>
      </c>
      <c r="AT73">
        <v>120</v>
      </c>
      <c r="AU73">
        <v>140</v>
      </c>
      <c r="AV73">
        <v>116</v>
      </c>
      <c r="AW73">
        <v>140</v>
      </c>
      <c r="AX73">
        <v>144</v>
      </c>
      <c r="AY73">
        <v>144</v>
      </c>
      <c r="AZ73">
        <v>160</v>
      </c>
      <c r="BA73">
        <v>140</v>
      </c>
      <c r="BB73">
        <v>160</v>
      </c>
      <c r="BC73">
        <v>208</v>
      </c>
      <c r="BD73">
        <v>240</v>
      </c>
      <c r="BE73">
        <v>116</v>
      </c>
      <c r="BF73">
        <v>120</v>
      </c>
      <c r="BG73">
        <v>128</v>
      </c>
      <c r="BH73">
        <v>116</v>
      </c>
      <c r="BI73">
        <v>120</v>
      </c>
      <c r="BJ73">
        <v>116</v>
      </c>
      <c r="BK73">
        <v>136</v>
      </c>
      <c r="BL73">
        <v>120</v>
      </c>
      <c r="BM73">
        <v>120</v>
      </c>
      <c r="BN73">
        <v>116</v>
      </c>
    </row>
    <row r="74" spans="1:66" x14ac:dyDescent="0.3">
      <c r="A74" t="s">
        <v>114</v>
      </c>
      <c r="B74" s="35">
        <v>145.48571428571429</v>
      </c>
      <c r="C74" s="35">
        <v>2370.2857142857142</v>
      </c>
      <c r="D74" s="32">
        <f>Tabela2[[#This Row],[Média 8x8]]/MIN(Tabela2[Média 8x8]) - 1</f>
        <v>0.2158548233046802</v>
      </c>
      <c r="E74" s="32">
        <f>Tabela2[[#This Row],[Média 16x16]]/MIN(Tabela2[Média 16x16]) - 1</f>
        <v>0.66921529175050298</v>
      </c>
      <c r="F74" s="19">
        <f>(Tabela2[[#This Row],[Perda 8x8]]+Tabela2[[#This Row],[Perda 16x16]])</f>
        <v>0.88507011505518318</v>
      </c>
      <c r="G74" s="3">
        <f>SUM(Tabela2[[#This Row],[Média 8x8]]+Tabela2[[#This Row],[Média 16x16]])</f>
        <v>2515.7714285714287</v>
      </c>
      <c r="J74"/>
      <c r="K74"/>
      <c r="Q74" t="s">
        <v>76</v>
      </c>
      <c r="R74">
        <v>128</v>
      </c>
      <c r="S74">
        <v>156</v>
      </c>
      <c r="T74">
        <v>104</v>
      </c>
      <c r="U74">
        <v>112</v>
      </c>
      <c r="V74">
        <v>112</v>
      </c>
      <c r="W74">
        <v>144</v>
      </c>
      <c r="X74">
        <v>116</v>
      </c>
      <c r="Y74">
        <v>148</v>
      </c>
      <c r="Z74">
        <v>136</v>
      </c>
      <c r="AA74">
        <v>120</v>
      </c>
      <c r="AB74">
        <v>148</v>
      </c>
      <c r="AC74">
        <v>128</v>
      </c>
      <c r="AD74">
        <v>168</v>
      </c>
      <c r="AE74">
        <v>152</v>
      </c>
      <c r="AF74">
        <v>144</v>
      </c>
      <c r="AG74">
        <v>148</v>
      </c>
      <c r="AH74">
        <v>144</v>
      </c>
      <c r="AI74">
        <v>176</v>
      </c>
      <c r="AJ74">
        <v>192</v>
      </c>
      <c r="AK74">
        <v>256</v>
      </c>
      <c r="AL74">
        <v>120</v>
      </c>
      <c r="AM74">
        <v>124</v>
      </c>
      <c r="AN74">
        <v>116</v>
      </c>
      <c r="AO74">
        <v>116</v>
      </c>
      <c r="AP74">
        <v>120</v>
      </c>
      <c r="AQ74">
        <v>116</v>
      </c>
      <c r="AR74">
        <v>128</v>
      </c>
      <c r="AS74">
        <v>116</v>
      </c>
      <c r="AT74">
        <v>132</v>
      </c>
      <c r="AU74">
        <v>128</v>
      </c>
      <c r="AV74">
        <v>120</v>
      </c>
      <c r="AW74">
        <v>168</v>
      </c>
      <c r="AX74">
        <v>140</v>
      </c>
      <c r="AY74">
        <v>116</v>
      </c>
      <c r="AZ74">
        <v>112</v>
      </c>
      <c r="BA74">
        <v>116</v>
      </c>
      <c r="BB74">
        <v>116</v>
      </c>
      <c r="BC74">
        <v>112</v>
      </c>
      <c r="BD74">
        <v>120</v>
      </c>
      <c r="BE74">
        <v>120</v>
      </c>
      <c r="BF74">
        <v>108</v>
      </c>
      <c r="BG74">
        <v>160</v>
      </c>
      <c r="BH74">
        <v>120</v>
      </c>
      <c r="BI74">
        <v>116</v>
      </c>
      <c r="BJ74">
        <v>120</v>
      </c>
      <c r="BK74">
        <v>132</v>
      </c>
      <c r="BL74">
        <v>136</v>
      </c>
      <c r="BM74">
        <v>136</v>
      </c>
      <c r="BN74">
        <v>136</v>
      </c>
    </row>
    <row r="75" spans="1:66" x14ac:dyDescent="0.3">
      <c r="A75" t="s">
        <v>83</v>
      </c>
      <c r="B75" s="35">
        <v>144.22857142857143</v>
      </c>
      <c r="C75" s="35">
        <v>2405.7142857142858</v>
      </c>
      <c r="D75" s="32">
        <f>Tabela2[[#This Row],[Média 8x8]]/MIN(Tabela2[Média 8x8]) - 1</f>
        <v>0.20534861509073532</v>
      </c>
      <c r="E75" s="32">
        <f>Tabela2[[#This Row],[Média 16x16]]/MIN(Tabela2[Média 16x16]) - 1</f>
        <v>0.69416498993963782</v>
      </c>
      <c r="F75" s="19">
        <f>(Tabela2[[#This Row],[Perda 8x8]]+Tabela2[[#This Row],[Perda 16x16]])</f>
        <v>0.89951360503037314</v>
      </c>
      <c r="G75" s="3">
        <f>SUM(Tabela2[[#This Row],[Média 8x8]]+Tabela2[[#This Row],[Média 16x16]])</f>
        <v>2549.9428571428571</v>
      </c>
      <c r="J75"/>
      <c r="K75"/>
      <c r="Q75" t="s">
        <v>42</v>
      </c>
      <c r="R75">
        <v>116</v>
      </c>
      <c r="S75">
        <v>116</v>
      </c>
      <c r="T75">
        <v>120</v>
      </c>
      <c r="U75">
        <v>120</v>
      </c>
      <c r="V75">
        <v>168</v>
      </c>
      <c r="W75">
        <v>120</v>
      </c>
      <c r="X75">
        <v>120</v>
      </c>
      <c r="Y75">
        <v>116</v>
      </c>
      <c r="Z75">
        <v>120</v>
      </c>
      <c r="AA75">
        <v>156</v>
      </c>
      <c r="AB75">
        <v>108</v>
      </c>
      <c r="AC75">
        <v>132</v>
      </c>
      <c r="AD75">
        <v>180</v>
      </c>
      <c r="AE75">
        <v>108</v>
      </c>
      <c r="AF75">
        <v>116</v>
      </c>
      <c r="AG75">
        <v>152</v>
      </c>
      <c r="AH75">
        <v>120</v>
      </c>
      <c r="AI75">
        <v>144</v>
      </c>
      <c r="AJ75">
        <v>112</v>
      </c>
      <c r="AK75">
        <v>148</v>
      </c>
      <c r="AL75">
        <v>112</v>
      </c>
      <c r="AM75">
        <v>148</v>
      </c>
      <c r="AN75">
        <v>140</v>
      </c>
      <c r="AO75">
        <v>144</v>
      </c>
      <c r="AP75">
        <v>184</v>
      </c>
      <c r="AQ75">
        <v>180</v>
      </c>
      <c r="AR75">
        <v>180</v>
      </c>
      <c r="AS75">
        <v>252</v>
      </c>
      <c r="AT75">
        <v>112</v>
      </c>
      <c r="AU75">
        <v>108</v>
      </c>
      <c r="AV75">
        <v>100</v>
      </c>
      <c r="AW75">
        <v>100</v>
      </c>
      <c r="AX75">
        <v>108</v>
      </c>
      <c r="AY75">
        <v>108</v>
      </c>
      <c r="AZ75">
        <v>108</v>
      </c>
      <c r="BA75">
        <v>120</v>
      </c>
      <c r="BB75">
        <v>116</v>
      </c>
      <c r="BC75">
        <v>156</v>
      </c>
      <c r="BD75">
        <v>108</v>
      </c>
      <c r="BE75">
        <v>104</v>
      </c>
      <c r="BF75">
        <v>112</v>
      </c>
      <c r="BG75">
        <v>108</v>
      </c>
      <c r="BH75">
        <v>116</v>
      </c>
      <c r="BI75">
        <v>104</v>
      </c>
      <c r="BJ75">
        <v>108</v>
      </c>
      <c r="BK75">
        <v>148</v>
      </c>
      <c r="BL75">
        <v>112</v>
      </c>
      <c r="BM75">
        <v>112</v>
      </c>
      <c r="BN75">
        <v>108</v>
      </c>
    </row>
    <row r="76" spans="1:66" x14ac:dyDescent="0.3">
      <c r="A76" t="s">
        <v>85</v>
      </c>
      <c r="B76" s="35">
        <v>156.22857142857143</v>
      </c>
      <c r="C76" s="35">
        <v>2263.4285714285716</v>
      </c>
      <c r="D76" s="32">
        <f>Tabela2[[#This Row],[Média 8x8]]/MIN(Tabela2[Média 8x8]) - 1</f>
        <v>0.30563514804202474</v>
      </c>
      <c r="E76" s="32">
        <f>Tabela2[[#This Row],[Média 16x16]]/MIN(Tabela2[Média 16x16]) - 1</f>
        <v>0.59396378269617722</v>
      </c>
      <c r="F76" s="19">
        <f>(Tabela2[[#This Row],[Perda 8x8]]+Tabela2[[#This Row],[Perda 16x16]])</f>
        <v>0.89959893073820196</v>
      </c>
      <c r="G76" s="3">
        <f>SUM(Tabela2[[#This Row],[Média 8x8]]+Tabela2[[#This Row],[Média 16x16]])</f>
        <v>2419.6571428571428</v>
      </c>
      <c r="J76"/>
      <c r="K76"/>
      <c r="Q76" t="s">
        <v>46</v>
      </c>
      <c r="R76">
        <v>116</v>
      </c>
      <c r="S76">
        <v>144</v>
      </c>
      <c r="T76">
        <v>116</v>
      </c>
      <c r="U76">
        <v>108</v>
      </c>
      <c r="V76">
        <v>144</v>
      </c>
      <c r="W76">
        <v>116</v>
      </c>
      <c r="X76">
        <v>128</v>
      </c>
      <c r="Y76">
        <v>156</v>
      </c>
      <c r="Z76">
        <v>124</v>
      </c>
      <c r="AA76">
        <v>160</v>
      </c>
      <c r="AB76">
        <v>152</v>
      </c>
      <c r="AC76">
        <v>124</v>
      </c>
      <c r="AD76">
        <v>148</v>
      </c>
      <c r="AE76">
        <v>140</v>
      </c>
      <c r="AF76">
        <v>144</v>
      </c>
      <c r="AG76">
        <v>164</v>
      </c>
      <c r="AH76">
        <v>260</v>
      </c>
      <c r="AI76">
        <v>252</v>
      </c>
      <c r="AJ76">
        <v>116</v>
      </c>
      <c r="AK76">
        <v>168</v>
      </c>
      <c r="AL76">
        <v>116</v>
      </c>
      <c r="AM76">
        <v>116</v>
      </c>
      <c r="AN76">
        <v>112</v>
      </c>
      <c r="AO76">
        <v>112</v>
      </c>
      <c r="AP76">
        <v>112</v>
      </c>
      <c r="AQ76">
        <v>108</v>
      </c>
      <c r="AR76">
        <v>108</v>
      </c>
      <c r="AS76">
        <v>160</v>
      </c>
      <c r="AT76">
        <v>116</v>
      </c>
      <c r="AU76">
        <v>112</v>
      </c>
      <c r="AV76">
        <v>116</v>
      </c>
      <c r="AW76">
        <v>116</v>
      </c>
      <c r="AX76">
        <v>108</v>
      </c>
      <c r="AY76">
        <v>116</v>
      </c>
      <c r="AZ76">
        <v>108</v>
      </c>
      <c r="BA76">
        <v>112</v>
      </c>
      <c r="BB76">
        <v>148</v>
      </c>
      <c r="BC76">
        <v>108</v>
      </c>
      <c r="BD76">
        <v>124</v>
      </c>
      <c r="BE76">
        <v>116</v>
      </c>
      <c r="BF76">
        <v>112</v>
      </c>
      <c r="BG76">
        <v>116</v>
      </c>
      <c r="BH76">
        <v>112</v>
      </c>
      <c r="BI76">
        <v>156</v>
      </c>
      <c r="BJ76">
        <v>120</v>
      </c>
      <c r="BK76">
        <v>124</v>
      </c>
      <c r="BL76">
        <v>116</v>
      </c>
      <c r="BM76">
        <v>120</v>
      </c>
      <c r="BN76">
        <v>120</v>
      </c>
    </row>
    <row r="77" spans="1:66" x14ac:dyDescent="0.3">
      <c r="A77" t="s">
        <v>88</v>
      </c>
      <c r="B77" s="35">
        <v>182.4</v>
      </c>
      <c r="C77" s="35">
        <v>1995.4285714285713</v>
      </c>
      <c r="D77" s="32">
        <f>Tabela2[[#This Row],[Média 8x8]]/MIN(Tabela2[Média 8x8]) - 1</f>
        <v>0.52435530085959892</v>
      </c>
      <c r="E77" s="32">
        <f>Tabela2[[#This Row],[Média 16x16]]/MIN(Tabela2[Média 16x16]) - 1</f>
        <v>0.40523138832997985</v>
      </c>
      <c r="F77" s="19">
        <f>(Tabela2[[#This Row],[Perda 8x8]]+Tabela2[[#This Row],[Perda 16x16]])</f>
        <v>0.92958668918957876</v>
      </c>
      <c r="G77" s="3">
        <f>SUM(Tabela2[[#This Row],[Média 8x8]]+Tabela2[[#This Row],[Média 16x16]])</f>
        <v>2177.8285714285712</v>
      </c>
      <c r="J77"/>
      <c r="K77"/>
      <c r="Q77" t="s">
        <v>80</v>
      </c>
      <c r="R77">
        <v>124</v>
      </c>
      <c r="S77">
        <v>116</v>
      </c>
      <c r="T77">
        <v>112</v>
      </c>
      <c r="U77">
        <v>156</v>
      </c>
      <c r="V77">
        <v>124</v>
      </c>
      <c r="W77">
        <v>132</v>
      </c>
      <c r="X77">
        <v>144</v>
      </c>
      <c r="Y77">
        <v>144</v>
      </c>
      <c r="Z77">
        <v>144</v>
      </c>
      <c r="AA77">
        <v>188</v>
      </c>
      <c r="AB77">
        <v>120</v>
      </c>
      <c r="AC77">
        <v>116</v>
      </c>
      <c r="AD77">
        <v>116</v>
      </c>
      <c r="AE77">
        <v>112</v>
      </c>
      <c r="AF77">
        <v>116</v>
      </c>
      <c r="AG77">
        <v>148</v>
      </c>
      <c r="AH77">
        <v>108</v>
      </c>
      <c r="AI77">
        <v>112</v>
      </c>
      <c r="AJ77">
        <v>112</v>
      </c>
      <c r="AK77">
        <v>152</v>
      </c>
      <c r="AL77">
        <v>112</v>
      </c>
      <c r="AM77">
        <v>152</v>
      </c>
      <c r="AN77">
        <v>124</v>
      </c>
      <c r="AO77">
        <v>160</v>
      </c>
      <c r="AP77">
        <v>120</v>
      </c>
      <c r="AQ77">
        <v>128</v>
      </c>
      <c r="AR77">
        <v>156</v>
      </c>
      <c r="AS77">
        <v>112</v>
      </c>
      <c r="AT77">
        <v>120</v>
      </c>
      <c r="AU77">
        <v>148</v>
      </c>
      <c r="AV77">
        <v>124</v>
      </c>
      <c r="AW77">
        <v>152</v>
      </c>
      <c r="AX77">
        <v>112</v>
      </c>
      <c r="AY77">
        <v>140</v>
      </c>
      <c r="AZ77">
        <v>140</v>
      </c>
      <c r="BA77">
        <v>116</v>
      </c>
      <c r="BB77">
        <v>148</v>
      </c>
      <c r="BC77">
        <v>144</v>
      </c>
      <c r="BD77">
        <v>172</v>
      </c>
      <c r="BE77">
        <v>180</v>
      </c>
      <c r="BF77">
        <v>272</v>
      </c>
      <c r="BG77">
        <v>136</v>
      </c>
      <c r="BH77">
        <v>116</v>
      </c>
      <c r="BI77">
        <v>136</v>
      </c>
      <c r="BJ77">
        <v>124</v>
      </c>
      <c r="BK77">
        <v>112</v>
      </c>
      <c r="BL77">
        <v>116</v>
      </c>
      <c r="BM77">
        <v>116</v>
      </c>
      <c r="BN77">
        <v>116</v>
      </c>
    </row>
    <row r="78" spans="1:66" x14ac:dyDescent="0.3">
      <c r="A78" t="s">
        <v>106</v>
      </c>
      <c r="B78" s="35">
        <v>164.91428571428571</v>
      </c>
      <c r="C78" s="35">
        <v>2238.8571428571427</v>
      </c>
      <c r="D78" s="32">
        <f>Tabela2[[#This Row],[Média 8x8]]/MIN(Tabela2[Média 8x8]) - 1</f>
        <v>0.37822349570200564</v>
      </c>
      <c r="E78" s="32">
        <f>Tabela2[[#This Row],[Média 16x16]]/MIN(Tabela2[Média 16x16]) - 1</f>
        <v>0.57665995975855111</v>
      </c>
      <c r="F78" s="19">
        <f>(Tabela2[[#This Row],[Perda 8x8]]+Tabela2[[#This Row],[Perda 16x16]])</f>
        <v>0.95488345546055675</v>
      </c>
      <c r="G78" s="3">
        <f>SUM(Tabela2[[#This Row],[Média 8x8]]+Tabela2[[#This Row],[Média 16x16]])</f>
        <v>2403.7714285714283</v>
      </c>
      <c r="J78"/>
      <c r="K78"/>
      <c r="Q78" t="s">
        <v>57</v>
      </c>
      <c r="R78">
        <v>108</v>
      </c>
      <c r="S78">
        <v>108</v>
      </c>
      <c r="T78">
        <v>148</v>
      </c>
      <c r="U78">
        <v>116</v>
      </c>
      <c r="V78">
        <v>124</v>
      </c>
      <c r="W78">
        <v>128</v>
      </c>
      <c r="X78">
        <v>128</v>
      </c>
      <c r="Y78">
        <v>120</v>
      </c>
      <c r="Z78">
        <v>152</v>
      </c>
      <c r="AA78">
        <v>116</v>
      </c>
      <c r="AB78">
        <v>112</v>
      </c>
      <c r="AC78">
        <v>112</v>
      </c>
      <c r="AD78">
        <v>112</v>
      </c>
      <c r="AE78">
        <v>144</v>
      </c>
      <c r="AF78">
        <v>116</v>
      </c>
      <c r="AG78">
        <v>120</v>
      </c>
      <c r="AH78">
        <v>120</v>
      </c>
      <c r="AI78">
        <v>148</v>
      </c>
      <c r="AJ78">
        <v>116</v>
      </c>
      <c r="AK78">
        <v>136</v>
      </c>
      <c r="AL78">
        <v>156</v>
      </c>
      <c r="AM78">
        <v>120</v>
      </c>
      <c r="AN78">
        <v>124</v>
      </c>
      <c r="AO78">
        <v>132</v>
      </c>
      <c r="AP78">
        <v>116</v>
      </c>
      <c r="AQ78">
        <v>140</v>
      </c>
      <c r="AR78">
        <v>116</v>
      </c>
      <c r="AS78">
        <v>140</v>
      </c>
      <c r="AT78">
        <v>124</v>
      </c>
      <c r="AU78">
        <v>152</v>
      </c>
      <c r="AV78">
        <v>144</v>
      </c>
      <c r="AW78">
        <v>144</v>
      </c>
      <c r="AX78">
        <v>124</v>
      </c>
      <c r="AY78">
        <v>160</v>
      </c>
      <c r="AZ78">
        <v>180</v>
      </c>
      <c r="BA78">
        <v>240</v>
      </c>
      <c r="BB78">
        <v>112</v>
      </c>
      <c r="BC78">
        <v>120</v>
      </c>
      <c r="BD78">
        <v>112</v>
      </c>
      <c r="BE78">
        <v>116</v>
      </c>
      <c r="BF78">
        <v>116</v>
      </c>
      <c r="BG78">
        <v>116</v>
      </c>
      <c r="BH78">
        <v>116</v>
      </c>
      <c r="BI78">
        <v>112</v>
      </c>
      <c r="BJ78">
        <v>120</v>
      </c>
      <c r="BK78">
        <v>152</v>
      </c>
      <c r="BL78">
        <v>128</v>
      </c>
      <c r="BM78">
        <v>128</v>
      </c>
      <c r="BN78">
        <v>128</v>
      </c>
    </row>
    <row r="79" spans="1:66" x14ac:dyDescent="0.3">
      <c r="A79" t="s">
        <v>79</v>
      </c>
      <c r="B79" s="35">
        <v>161.71428571428572</v>
      </c>
      <c r="C79" s="35">
        <v>2338.8571428571427</v>
      </c>
      <c r="D79" s="32">
        <f>Tabela2[[#This Row],[Média 8x8]]/MIN(Tabela2[Média 8x8]) - 1</f>
        <v>0.3514804202483286</v>
      </c>
      <c r="E79" s="32">
        <f>Tabela2[[#This Row],[Média 16x16]]/MIN(Tabela2[Média 16x16]) - 1</f>
        <v>0.64708249496981884</v>
      </c>
      <c r="F79" s="19">
        <f>(Tabela2[[#This Row],[Perda 8x8]]+Tabela2[[#This Row],[Perda 16x16]])</f>
        <v>0.99856291521814744</v>
      </c>
      <c r="G79" s="3">
        <f>SUM(Tabela2[[#This Row],[Média 8x8]]+Tabela2[[#This Row],[Média 16x16]])</f>
        <v>2500.5714285714284</v>
      </c>
      <c r="J79"/>
      <c r="K79"/>
      <c r="Q79" t="s">
        <v>60</v>
      </c>
      <c r="R79">
        <v>116</v>
      </c>
      <c r="S79">
        <v>120</v>
      </c>
      <c r="T79">
        <v>120</v>
      </c>
      <c r="U79">
        <v>116</v>
      </c>
      <c r="V79">
        <v>128</v>
      </c>
      <c r="W79">
        <v>120</v>
      </c>
      <c r="X79">
        <v>120</v>
      </c>
      <c r="Y79">
        <v>116</v>
      </c>
      <c r="Z79">
        <v>116</v>
      </c>
      <c r="AA79">
        <v>160</v>
      </c>
      <c r="AB79">
        <v>120</v>
      </c>
      <c r="AC79">
        <v>128</v>
      </c>
      <c r="AD79">
        <v>124</v>
      </c>
      <c r="AE79">
        <v>124</v>
      </c>
      <c r="AF79">
        <v>124</v>
      </c>
      <c r="AG79">
        <v>120</v>
      </c>
      <c r="AH79">
        <v>116</v>
      </c>
      <c r="AI79">
        <v>116</v>
      </c>
      <c r="AJ79">
        <v>116</v>
      </c>
      <c r="AK79">
        <v>116</v>
      </c>
      <c r="AL79">
        <v>156</v>
      </c>
      <c r="AM79">
        <v>120</v>
      </c>
      <c r="AN79">
        <v>124</v>
      </c>
      <c r="AO79">
        <v>116</v>
      </c>
      <c r="AP79">
        <v>120</v>
      </c>
      <c r="AQ79">
        <v>120</v>
      </c>
      <c r="AR79">
        <v>120</v>
      </c>
      <c r="AS79">
        <v>120</v>
      </c>
      <c r="AT79">
        <v>144</v>
      </c>
      <c r="AU79">
        <v>184</v>
      </c>
      <c r="AV79">
        <v>144</v>
      </c>
      <c r="AW79">
        <v>152</v>
      </c>
      <c r="AX79">
        <v>136</v>
      </c>
      <c r="AY79">
        <v>136</v>
      </c>
      <c r="AZ79">
        <v>144</v>
      </c>
      <c r="BA79">
        <v>132</v>
      </c>
      <c r="BB79">
        <v>164</v>
      </c>
      <c r="BC79">
        <v>116</v>
      </c>
      <c r="BD79">
        <v>124</v>
      </c>
      <c r="BE79">
        <v>136</v>
      </c>
      <c r="BF79">
        <v>140</v>
      </c>
      <c r="BG79">
        <v>136</v>
      </c>
      <c r="BH79">
        <v>172</v>
      </c>
      <c r="BI79">
        <v>128</v>
      </c>
      <c r="BJ79">
        <v>120</v>
      </c>
      <c r="BK79">
        <v>128</v>
      </c>
      <c r="BL79">
        <v>144</v>
      </c>
      <c r="BM79">
        <v>156</v>
      </c>
      <c r="BN79">
        <v>132</v>
      </c>
    </row>
    <row r="80" spans="1:66" x14ac:dyDescent="0.3">
      <c r="A80" t="s">
        <v>91</v>
      </c>
      <c r="B80" s="35">
        <v>143.77142857142857</v>
      </c>
      <c r="C80" s="35">
        <v>2777.7142857142858</v>
      </c>
      <c r="D80" s="32">
        <f>Tabela2[[#This Row],[Média 8x8]]/MIN(Tabela2[Média 8x8]) - 1</f>
        <v>0.20152817574021009</v>
      </c>
      <c r="E80" s="32">
        <f>Tabela2[[#This Row],[Média 16x16]]/MIN(Tabela2[Média 16x16]) - 1</f>
        <v>0.95613682092555341</v>
      </c>
      <c r="F80" s="19">
        <f>(Tabela2[[#This Row],[Perda 8x8]]+Tabela2[[#This Row],[Perda 16x16]])</f>
        <v>1.1576649966657635</v>
      </c>
      <c r="G80" s="3">
        <f>SUM(Tabela2[[#This Row],[Média 8x8]]+Tabela2[[#This Row],[Média 16x16]])</f>
        <v>2921.4857142857145</v>
      </c>
      <c r="J80"/>
      <c r="K80"/>
      <c r="Q80" t="s">
        <v>78</v>
      </c>
      <c r="R80">
        <v>108</v>
      </c>
      <c r="S80">
        <v>116</v>
      </c>
      <c r="T80">
        <v>116</v>
      </c>
      <c r="U80">
        <v>124</v>
      </c>
      <c r="V80">
        <v>124</v>
      </c>
      <c r="W80">
        <v>120</v>
      </c>
      <c r="X80">
        <v>164</v>
      </c>
      <c r="Y80">
        <v>140</v>
      </c>
      <c r="Z80">
        <v>128</v>
      </c>
      <c r="AA80">
        <v>116</v>
      </c>
      <c r="AB80">
        <v>124</v>
      </c>
      <c r="AC80">
        <v>116</v>
      </c>
      <c r="AD80">
        <v>112</v>
      </c>
      <c r="AE80">
        <v>116</v>
      </c>
      <c r="AF80">
        <v>136</v>
      </c>
      <c r="AG80">
        <v>112</v>
      </c>
      <c r="AH80">
        <v>116</v>
      </c>
      <c r="AI80">
        <v>112</v>
      </c>
      <c r="AJ80">
        <v>132</v>
      </c>
      <c r="AK80">
        <v>116</v>
      </c>
      <c r="AL80">
        <v>160</v>
      </c>
      <c r="AM80">
        <v>124</v>
      </c>
      <c r="AN80">
        <v>128</v>
      </c>
      <c r="AO80">
        <v>120</v>
      </c>
      <c r="AP80">
        <v>116</v>
      </c>
      <c r="AQ80">
        <v>172</v>
      </c>
      <c r="AR80">
        <v>128</v>
      </c>
      <c r="AS80">
        <v>120</v>
      </c>
      <c r="AT80">
        <v>124</v>
      </c>
      <c r="AU80">
        <v>152</v>
      </c>
      <c r="AV80">
        <v>124</v>
      </c>
      <c r="AW80">
        <v>124</v>
      </c>
      <c r="AX80">
        <v>120</v>
      </c>
      <c r="AY80">
        <v>152</v>
      </c>
      <c r="AZ80">
        <v>120</v>
      </c>
      <c r="BA80">
        <v>116</v>
      </c>
      <c r="BB80">
        <v>160</v>
      </c>
      <c r="BC80">
        <v>140</v>
      </c>
      <c r="BD80">
        <v>156</v>
      </c>
      <c r="BE80">
        <v>132</v>
      </c>
      <c r="BF80">
        <v>148</v>
      </c>
      <c r="BG80">
        <v>144</v>
      </c>
      <c r="BH80">
        <v>136</v>
      </c>
      <c r="BI80">
        <v>148</v>
      </c>
      <c r="BJ80">
        <v>152</v>
      </c>
      <c r="BK80">
        <v>188</v>
      </c>
      <c r="BL80">
        <v>180</v>
      </c>
      <c r="BM80">
        <v>244</v>
      </c>
      <c r="BN80">
        <v>112</v>
      </c>
    </row>
    <row r="81" spans="1:11" x14ac:dyDescent="0.3">
      <c r="A81" t="s">
        <v>68</v>
      </c>
      <c r="B81" s="35">
        <v>128.34285714285716</v>
      </c>
      <c r="C81" s="35">
        <v>4055.4285714285716</v>
      </c>
      <c r="D81" s="32">
        <f>Tabela2[[#This Row],[Média 8x8]]/MIN(Tabela2[Média 8x8]) - 1</f>
        <v>7.2588347659980901E-2</v>
      </c>
      <c r="E81" s="32">
        <f>Tabela2[[#This Row],[Média 16x16]]/MIN(Tabela2[Média 16x16]) - 1</f>
        <v>1.8559356136820928</v>
      </c>
      <c r="F81" s="19">
        <f>(Tabela2[[#This Row],[Perda 8x8]]+Tabela2[[#This Row],[Perda 16x16]])</f>
        <v>1.9285239613420737</v>
      </c>
      <c r="G81" s="3">
        <f>SUM(Tabela2[[#This Row],[Média 8x8]]+Tabela2[[#This Row],[Média 16x16]])</f>
        <v>4183.7714285714283</v>
      </c>
      <c r="J81"/>
      <c r="K81"/>
    </row>
  </sheetData>
  <sortState xmlns:xlrd2="http://schemas.microsoft.com/office/spreadsheetml/2017/richdata2" ref="M17:O18">
    <sortCondition ref="O17"/>
  </sortState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4CFB9-9360-4054-8C81-CE758C740E9E}">
  <dimension ref="A1:E26"/>
  <sheetViews>
    <sheetView tabSelected="1" workbookViewId="0">
      <selection activeCell="E22" sqref="E22"/>
    </sheetView>
  </sheetViews>
  <sheetFormatPr defaultRowHeight="14.4" x14ac:dyDescent="0.3"/>
  <cols>
    <col min="2" max="2" width="27.6640625" bestFit="1" customWidth="1"/>
    <col min="3" max="5" width="28.6640625" bestFit="1" customWidth="1"/>
  </cols>
  <sheetData>
    <row r="1" spans="2:5" x14ac:dyDescent="0.3">
      <c r="B1" t="s">
        <v>206</v>
      </c>
      <c r="C1" t="s">
        <v>204</v>
      </c>
      <c r="D1" t="s">
        <v>205</v>
      </c>
      <c r="E1" t="s">
        <v>207</v>
      </c>
    </row>
    <row r="2" spans="2:5" x14ac:dyDescent="0.3">
      <c r="B2">
        <v>112</v>
      </c>
      <c r="C2">
        <v>1256</v>
      </c>
      <c r="D2">
        <v>13204</v>
      </c>
      <c r="E2">
        <v>142464</v>
      </c>
    </row>
    <row r="3" spans="2:5" x14ac:dyDescent="0.3">
      <c r="B3">
        <v>108</v>
      </c>
      <c r="C3">
        <v>2860</v>
      </c>
      <c r="D3">
        <v>21128</v>
      </c>
      <c r="E3">
        <v>276372</v>
      </c>
    </row>
    <row r="4" spans="2:5" x14ac:dyDescent="0.3">
      <c r="B4">
        <v>112</v>
      </c>
      <c r="C4">
        <v>1396</v>
      </c>
      <c r="D4">
        <v>59504</v>
      </c>
      <c r="E4">
        <v>105988</v>
      </c>
    </row>
    <row r="5" spans="2:5" x14ac:dyDescent="0.3">
      <c r="B5">
        <v>120</v>
      </c>
      <c r="C5">
        <v>1328</v>
      </c>
      <c r="D5">
        <v>11496</v>
      </c>
      <c r="E5">
        <v>365664</v>
      </c>
    </row>
    <row r="6" spans="2:5" x14ac:dyDescent="0.3">
      <c r="B6">
        <v>120</v>
      </c>
      <c r="C6">
        <v>1420</v>
      </c>
      <c r="D6">
        <v>10020</v>
      </c>
      <c r="E6">
        <v>1038904</v>
      </c>
    </row>
    <row r="7" spans="2:5" x14ac:dyDescent="0.3">
      <c r="B7">
        <v>108</v>
      </c>
      <c r="C7">
        <v>1444</v>
      </c>
      <c r="D7">
        <v>7444</v>
      </c>
      <c r="E7">
        <v>65568</v>
      </c>
    </row>
    <row r="8" spans="2:5" x14ac:dyDescent="0.3">
      <c r="B8">
        <v>120</v>
      </c>
      <c r="C8">
        <v>3136</v>
      </c>
      <c r="D8">
        <v>71748</v>
      </c>
      <c r="E8">
        <v>147172</v>
      </c>
    </row>
    <row r="9" spans="2:5" x14ac:dyDescent="0.3">
      <c r="B9">
        <v>128</v>
      </c>
      <c r="C9">
        <v>9328</v>
      </c>
      <c r="D9">
        <v>14024</v>
      </c>
      <c r="E9">
        <v>96956</v>
      </c>
    </row>
    <row r="10" spans="2:5" x14ac:dyDescent="0.3">
      <c r="B10">
        <v>124</v>
      </c>
      <c r="C10">
        <v>1660</v>
      </c>
      <c r="D10">
        <v>8364</v>
      </c>
      <c r="E10">
        <v>443112</v>
      </c>
    </row>
    <row r="11" spans="2:5" x14ac:dyDescent="0.3">
      <c r="B11">
        <v>108</v>
      </c>
      <c r="C11">
        <v>2228</v>
      </c>
      <c r="D11">
        <v>9500</v>
      </c>
      <c r="E11">
        <v>87528</v>
      </c>
    </row>
    <row r="12" spans="2:5" x14ac:dyDescent="0.3">
      <c r="B12">
        <v>116</v>
      </c>
      <c r="C12">
        <v>15220</v>
      </c>
      <c r="D12">
        <v>19712</v>
      </c>
      <c r="E12">
        <v>103652</v>
      </c>
    </row>
    <row r="13" spans="2:5" x14ac:dyDescent="0.3">
      <c r="B13">
        <v>124</v>
      </c>
      <c r="C13">
        <v>1768</v>
      </c>
      <c r="D13">
        <v>8820</v>
      </c>
      <c r="E13">
        <v>221380</v>
      </c>
    </row>
    <row r="14" spans="2:5" x14ac:dyDescent="0.3">
      <c r="B14">
        <v>116</v>
      </c>
      <c r="C14">
        <v>3788</v>
      </c>
      <c r="D14">
        <v>14680</v>
      </c>
      <c r="E14">
        <v>209976</v>
      </c>
    </row>
    <row r="15" spans="2:5" x14ac:dyDescent="0.3">
      <c r="B15">
        <v>132</v>
      </c>
      <c r="C15">
        <v>1376</v>
      </c>
      <c r="D15">
        <v>8668</v>
      </c>
      <c r="E15">
        <v>50412</v>
      </c>
    </row>
    <row r="16" spans="2:5" x14ac:dyDescent="0.3">
      <c r="B16">
        <v>132</v>
      </c>
      <c r="C16">
        <v>2212</v>
      </c>
      <c r="D16">
        <v>6960</v>
      </c>
      <c r="E16">
        <v>95440</v>
      </c>
    </row>
    <row r="17" spans="1:5" x14ac:dyDescent="0.3">
      <c r="B17">
        <v>112</v>
      </c>
      <c r="C17">
        <v>1332</v>
      </c>
      <c r="D17">
        <v>11048</v>
      </c>
      <c r="E17">
        <v>119084</v>
      </c>
    </row>
    <row r="18" spans="1:5" x14ac:dyDescent="0.3">
      <c r="B18">
        <v>116</v>
      </c>
      <c r="C18">
        <v>1380</v>
      </c>
      <c r="D18">
        <v>47112</v>
      </c>
      <c r="E18">
        <v>191284</v>
      </c>
    </row>
    <row r="19" spans="1:5" x14ac:dyDescent="0.3">
      <c r="B19">
        <v>112</v>
      </c>
      <c r="C19">
        <v>1436</v>
      </c>
      <c r="D19">
        <v>20432</v>
      </c>
      <c r="E19">
        <v>738860</v>
      </c>
    </row>
    <row r="20" spans="1:5" x14ac:dyDescent="0.3">
      <c r="B20">
        <v>112</v>
      </c>
      <c r="C20">
        <v>4668</v>
      </c>
      <c r="D20">
        <v>15836</v>
      </c>
      <c r="E20">
        <v>62280</v>
      </c>
    </row>
    <row r="21" spans="1:5" x14ac:dyDescent="0.3">
      <c r="A21" s="38" t="s">
        <v>19</v>
      </c>
      <c r="B21" s="37">
        <f>TRIMMEAN(C_\[8_anti_first_fail_step_up.csv], 30%)</f>
        <v>116.8</v>
      </c>
      <c r="C21" s="37">
        <f>TRIMMEAN(C_\[16_anti_first_fail_step_up.csv], 30%)</f>
        <v>2140.2666666666669</v>
      </c>
      <c r="D21" s="37">
        <f>TRIMMEAN(C_\[24_anti_first_fail_step_up.csv], 30%)</f>
        <v>15602.933333333332</v>
      </c>
      <c r="E21" s="37">
        <f>TRIMMEAN(C_\[32_anti_first_fail_step_up.csv], 30%)</f>
        <v>178109.33333333334</v>
      </c>
    </row>
    <row r="23" spans="1:5" x14ac:dyDescent="0.3">
      <c r="C23" s="5">
        <v>8</v>
      </c>
      <c r="D23" s="37">
        <f>TRIMMEAN(C_\[8_anti_first_fail_step_up.csv], 30%)/1000</f>
        <v>0.1168</v>
      </c>
    </row>
    <row r="24" spans="1:5" x14ac:dyDescent="0.3">
      <c r="C24" s="6">
        <v>16</v>
      </c>
      <c r="D24" s="37">
        <f>TRIMMEAN(C_\[16_anti_first_fail_step_up.csv], 30%)/1000</f>
        <v>2.1402666666666668</v>
      </c>
    </row>
    <row r="25" spans="1:5" x14ac:dyDescent="0.3">
      <c r="C25" s="11">
        <v>24</v>
      </c>
      <c r="D25" s="37">
        <f>TRIMMEAN(C_\[24_anti_first_fail_step_up.csv], 30%)/1000</f>
        <v>15.602933333333333</v>
      </c>
    </row>
    <row r="26" spans="1:5" x14ac:dyDescent="0.3">
      <c r="C26" s="5">
        <v>32</v>
      </c>
      <c r="D26" s="37">
        <f>TRIMMEAN(C_\[32_anti_first_fail_step_up.csv], 30%)/1000</f>
        <v>178.10933333333335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93BA-EB65-4F4B-A889-D983805646B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D8DE7-29E2-4833-83CF-95E8C9F7C89D}">
  <dimension ref="A1:Q81"/>
  <sheetViews>
    <sheetView topLeftCell="G1" zoomScale="70" zoomScaleNormal="70" workbookViewId="0">
      <selection activeCell="M7" sqref="M7"/>
    </sheetView>
  </sheetViews>
  <sheetFormatPr defaultRowHeight="14.4" x14ac:dyDescent="0.3"/>
  <cols>
    <col min="1" max="1" width="32.6640625" bestFit="1" customWidth="1"/>
    <col min="2" max="9" width="6" bestFit="1" customWidth="1"/>
    <col min="10" max="10" width="5" bestFit="1" customWidth="1"/>
    <col min="11" max="11" width="5" customWidth="1"/>
    <col min="12" max="12" width="31.33203125" customWidth="1"/>
    <col min="13" max="13" width="15.5546875" customWidth="1"/>
    <col min="14" max="14" width="2.6640625" customWidth="1"/>
    <col min="15" max="15" width="13.5546875" customWidth="1"/>
    <col min="16" max="16" width="25.109375" bestFit="1" customWidth="1"/>
    <col min="17" max="17" width="22.44140625" bestFit="1" customWidth="1"/>
    <col min="18" max="18" width="24.5546875" bestFit="1" customWidth="1"/>
    <col min="19" max="19" width="21.88671875" bestFit="1" customWidth="1"/>
    <col min="20" max="20" width="22.21875" bestFit="1" customWidth="1"/>
    <col min="21" max="21" width="19.6640625" bestFit="1" customWidth="1"/>
    <col min="22" max="22" width="28.33203125" bestFit="1" customWidth="1"/>
    <col min="23" max="23" width="25.6640625" bestFit="1" customWidth="1"/>
    <col min="24" max="24" width="28.33203125" bestFit="1" customWidth="1"/>
    <col min="25" max="25" width="25.6640625" bestFit="1" customWidth="1"/>
    <col min="26" max="26" width="29.77734375" bestFit="1" customWidth="1"/>
    <col min="27" max="27" width="27.109375" bestFit="1" customWidth="1"/>
    <col min="28" max="28" width="29.21875" bestFit="1" customWidth="1"/>
    <col min="29" max="29" width="26.5546875" bestFit="1" customWidth="1"/>
    <col min="30" max="30" width="26.88671875" bestFit="1" customWidth="1"/>
    <col min="31" max="31" width="24.33203125" bestFit="1" customWidth="1"/>
    <col min="32" max="32" width="28.5546875" bestFit="1" customWidth="1"/>
    <col min="33" max="33" width="25.88671875" bestFit="1" customWidth="1"/>
    <col min="34" max="34" width="28.5546875" bestFit="1" customWidth="1"/>
    <col min="35" max="35" width="25.88671875" bestFit="1" customWidth="1"/>
    <col min="36" max="36" width="30" bestFit="1" customWidth="1"/>
    <col min="37" max="37" width="27.33203125" bestFit="1" customWidth="1"/>
    <col min="38" max="38" width="29.44140625" bestFit="1" customWidth="1"/>
    <col min="39" max="39" width="26.77734375" bestFit="1" customWidth="1"/>
    <col min="40" max="40" width="27.109375" bestFit="1" customWidth="1"/>
    <col min="41" max="41" width="24.5546875" bestFit="1" customWidth="1"/>
    <col min="42" max="42" width="25" bestFit="1" customWidth="1"/>
    <col min="43" max="43" width="22.33203125" bestFit="1" customWidth="1"/>
    <col min="44" max="44" width="25" bestFit="1" customWidth="1"/>
    <col min="45" max="45" width="22.33203125" bestFit="1" customWidth="1"/>
    <col min="46" max="46" width="26.44140625" bestFit="1" customWidth="1"/>
    <col min="47" max="47" width="23.88671875" bestFit="1" customWidth="1"/>
    <col min="48" max="48" width="25.88671875" bestFit="1" customWidth="1"/>
    <col min="49" max="49" width="23.21875" bestFit="1" customWidth="1"/>
    <col min="50" max="50" width="31.109375" bestFit="1" customWidth="1"/>
    <col min="51" max="51" width="28.5546875" bestFit="1" customWidth="1"/>
    <col min="52" max="52" width="31.109375" bestFit="1" customWidth="1"/>
    <col min="53" max="53" width="28.5546875" bestFit="1" customWidth="1"/>
    <col min="54" max="54" width="32.6640625" bestFit="1" customWidth="1"/>
    <col min="55" max="55" width="30" bestFit="1" customWidth="1"/>
    <col min="56" max="56" width="32.109375" bestFit="1" customWidth="1"/>
    <col min="57" max="57" width="29.44140625" bestFit="1" customWidth="1"/>
    <col min="58" max="58" width="29.77734375" bestFit="1" customWidth="1"/>
    <col min="59" max="59" width="27.109375" bestFit="1" customWidth="1"/>
    <col min="60" max="60" width="23.6640625" bestFit="1" customWidth="1"/>
    <col min="61" max="61" width="21" bestFit="1" customWidth="1"/>
    <col min="62" max="62" width="24.6640625" bestFit="1" customWidth="1"/>
    <col min="63" max="63" width="22" bestFit="1" customWidth="1"/>
    <col min="64" max="64" width="24.6640625" bestFit="1" customWidth="1"/>
    <col min="65" max="65" width="22" bestFit="1" customWidth="1"/>
    <col min="66" max="66" width="26.109375" bestFit="1" customWidth="1"/>
    <col min="67" max="67" width="23.5546875" bestFit="1" customWidth="1"/>
    <col min="68" max="68" width="25.5546875" bestFit="1" customWidth="1"/>
    <col min="69" max="69" width="22.88671875" bestFit="1" customWidth="1"/>
    <col min="70" max="70" width="23.21875" bestFit="1" customWidth="1"/>
    <col min="71" max="71" width="20.6640625" bestFit="1" customWidth="1"/>
    <col min="72" max="72" width="30.88671875" bestFit="1" customWidth="1"/>
    <col min="73" max="73" width="28.33203125" bestFit="1" customWidth="1"/>
    <col min="74" max="74" width="30.88671875" bestFit="1" customWidth="1"/>
    <col min="75" max="75" width="28.33203125" bestFit="1" customWidth="1"/>
    <col min="76" max="76" width="32.44140625" bestFit="1" customWidth="1"/>
    <col min="77" max="77" width="29.77734375" bestFit="1" customWidth="1"/>
    <col min="78" max="78" width="31.88671875" bestFit="1" customWidth="1"/>
    <col min="79" max="79" width="29.21875" bestFit="1" customWidth="1"/>
    <col min="80" max="80" width="29.5546875" bestFit="1" customWidth="1"/>
    <col min="81" max="81" width="26.88671875" bestFit="1" customWidth="1"/>
  </cols>
  <sheetData>
    <row r="1" spans="1:17" x14ac:dyDescent="0.3">
      <c r="A1" s="5" t="s">
        <v>36</v>
      </c>
      <c r="B1" s="7">
        <v>1552</v>
      </c>
      <c r="C1" s="9">
        <v>30464</v>
      </c>
      <c r="D1" s="7">
        <v>2828</v>
      </c>
      <c r="E1" s="9">
        <v>1676</v>
      </c>
      <c r="F1" s="7">
        <v>1616</v>
      </c>
      <c r="G1" s="9">
        <v>1344</v>
      </c>
      <c r="H1" s="7">
        <v>1484</v>
      </c>
      <c r="I1" s="9">
        <v>1280</v>
      </c>
      <c r="J1" s="7">
        <v>1788</v>
      </c>
      <c r="K1" s="18"/>
      <c r="L1" s="5" t="s">
        <v>34</v>
      </c>
      <c r="M1" t="s">
        <v>19</v>
      </c>
    </row>
    <row r="2" spans="1:17" x14ac:dyDescent="0.3">
      <c r="A2" s="6" t="s">
        <v>37</v>
      </c>
      <c r="B2" s="8">
        <v>1900</v>
      </c>
      <c r="C2" s="10">
        <v>1480</v>
      </c>
      <c r="D2" s="8">
        <v>2196</v>
      </c>
      <c r="E2" s="10">
        <v>4472</v>
      </c>
      <c r="F2" s="8">
        <v>2300</v>
      </c>
      <c r="G2" s="10">
        <v>1364</v>
      </c>
      <c r="H2" s="8">
        <v>1344</v>
      </c>
      <c r="I2" s="10">
        <v>1544</v>
      </c>
      <c r="J2" s="8">
        <v>1632</v>
      </c>
      <c r="K2" s="18"/>
      <c r="L2" s="5" t="s">
        <v>36</v>
      </c>
      <c r="M2" s="3">
        <v>1755.4285714285713</v>
      </c>
      <c r="O2" t="s">
        <v>2</v>
      </c>
      <c r="P2" t="s">
        <v>3</v>
      </c>
      <c r="Q2">
        <f xml:space="preserve"> AVERAGEIF($L$2:$L$81, P2, $M$2:$M$81)</f>
        <v>1716.2285714285713</v>
      </c>
    </row>
    <row r="3" spans="1:17" x14ac:dyDescent="0.3">
      <c r="A3" s="6" t="s">
        <v>39</v>
      </c>
      <c r="B3" s="8">
        <v>1540</v>
      </c>
      <c r="C3" s="10">
        <v>1888</v>
      </c>
      <c r="D3" s="8">
        <v>1608</v>
      </c>
      <c r="E3" s="10">
        <v>1464</v>
      </c>
      <c r="F3" s="8">
        <v>1868</v>
      </c>
      <c r="G3" s="10">
        <v>3376</v>
      </c>
      <c r="H3" s="8">
        <v>1600</v>
      </c>
      <c r="I3" s="10">
        <v>1844</v>
      </c>
      <c r="J3" s="8">
        <v>2116</v>
      </c>
      <c r="K3" s="18"/>
      <c r="L3" s="6" t="s">
        <v>37</v>
      </c>
      <c r="M3" s="3">
        <v>1773.7142857142858</v>
      </c>
      <c r="O3" t="s">
        <v>21</v>
      </c>
      <c r="P3" t="s">
        <v>17</v>
      </c>
      <c r="Q3">
        <f t="shared" ref="Q3:Q18" si="0" xml:space="preserve"> AVERAGEIF($L$2:$L$81, P3, $M$2:$M$81)</f>
        <v>1787.2571428571428</v>
      </c>
    </row>
    <row r="4" spans="1:17" x14ac:dyDescent="0.3">
      <c r="A4" s="6" t="s">
        <v>41</v>
      </c>
      <c r="B4" s="8">
        <v>1372</v>
      </c>
      <c r="C4" s="10">
        <v>2012</v>
      </c>
      <c r="D4" s="8">
        <v>1464</v>
      </c>
      <c r="E4" s="10">
        <v>1868</v>
      </c>
      <c r="F4" s="8">
        <v>2136</v>
      </c>
      <c r="G4" s="10">
        <v>1800</v>
      </c>
      <c r="H4" s="8">
        <v>1720</v>
      </c>
      <c r="I4" s="10">
        <v>1524</v>
      </c>
      <c r="J4" s="8">
        <v>1420</v>
      </c>
      <c r="K4" s="18"/>
      <c r="L4" s="6" t="s">
        <v>39</v>
      </c>
      <c r="M4" s="3">
        <v>1780.5714285714287</v>
      </c>
      <c r="O4" t="s">
        <v>25</v>
      </c>
      <c r="P4" t="s">
        <v>8</v>
      </c>
      <c r="Q4">
        <f t="shared" si="0"/>
        <v>1858.9142857142858</v>
      </c>
    </row>
    <row r="5" spans="1:17" x14ac:dyDescent="0.3">
      <c r="A5" s="6" t="s">
        <v>43</v>
      </c>
      <c r="B5" s="8">
        <v>1720</v>
      </c>
      <c r="C5" s="10">
        <v>1372</v>
      </c>
      <c r="D5" s="8">
        <v>2096</v>
      </c>
      <c r="E5" s="10">
        <v>1680</v>
      </c>
      <c r="F5" s="8">
        <v>2512</v>
      </c>
      <c r="G5" s="10">
        <v>1520</v>
      </c>
      <c r="H5" s="8">
        <v>1824</v>
      </c>
      <c r="I5" s="10">
        <v>1436</v>
      </c>
      <c r="J5" s="8">
        <v>1404</v>
      </c>
      <c r="K5" s="18"/>
      <c r="L5" s="6" t="s">
        <v>41</v>
      </c>
      <c r="M5" s="3">
        <v>1686.8571428571429</v>
      </c>
      <c r="O5" t="s">
        <v>23</v>
      </c>
      <c r="P5" t="s">
        <v>6</v>
      </c>
      <c r="Q5">
        <f t="shared" si="0"/>
        <v>1868.0571428571427</v>
      </c>
    </row>
    <row r="6" spans="1:17" x14ac:dyDescent="0.3">
      <c r="A6" s="6" t="s">
        <v>45</v>
      </c>
      <c r="B6" s="8">
        <v>2364</v>
      </c>
      <c r="C6" s="10">
        <v>1464</v>
      </c>
      <c r="D6" s="8">
        <v>1348</v>
      </c>
      <c r="E6" s="10">
        <v>1300</v>
      </c>
      <c r="F6" s="8">
        <v>1580</v>
      </c>
      <c r="G6" s="10">
        <v>2700</v>
      </c>
      <c r="H6" s="8">
        <v>1388</v>
      </c>
      <c r="I6" s="10">
        <v>3328</v>
      </c>
      <c r="J6" s="8">
        <v>2732</v>
      </c>
      <c r="K6" s="18"/>
      <c r="L6" s="6" t="s">
        <v>43</v>
      </c>
      <c r="M6" s="3">
        <v>1668.5714285714287</v>
      </c>
      <c r="O6" t="s">
        <v>20</v>
      </c>
      <c r="P6" t="s">
        <v>4</v>
      </c>
      <c r="Q6">
        <f t="shared" si="0"/>
        <v>1968.2285714285713</v>
      </c>
    </row>
    <row r="7" spans="1:17" x14ac:dyDescent="0.3">
      <c r="A7" s="6" t="s">
        <v>195</v>
      </c>
      <c r="B7" s="8">
        <v>1276</v>
      </c>
      <c r="C7" s="10">
        <v>5396</v>
      </c>
      <c r="D7" s="8">
        <v>2212</v>
      </c>
      <c r="E7" s="10">
        <v>1384</v>
      </c>
      <c r="F7" s="8">
        <v>1544</v>
      </c>
      <c r="G7" s="10">
        <v>3904</v>
      </c>
      <c r="H7" s="8">
        <v>1396</v>
      </c>
      <c r="I7" s="10">
        <v>1508</v>
      </c>
      <c r="J7" s="8">
        <v>2260</v>
      </c>
      <c r="K7" s="18"/>
      <c r="L7" s="6" t="s">
        <v>45</v>
      </c>
      <c r="M7" s="3">
        <v>1939.4285714285713</v>
      </c>
      <c r="O7" t="s">
        <v>24</v>
      </c>
      <c r="P7" t="s">
        <v>7</v>
      </c>
      <c r="Q7">
        <f t="shared" si="0"/>
        <v>2018.9142857142858</v>
      </c>
    </row>
    <row r="8" spans="1:17" x14ac:dyDescent="0.3">
      <c r="A8" s="6" t="s">
        <v>49</v>
      </c>
      <c r="B8" s="8">
        <v>1384</v>
      </c>
      <c r="C8" s="10">
        <v>1940</v>
      </c>
      <c r="D8" s="8">
        <v>1912</v>
      </c>
      <c r="E8" s="10">
        <v>1872</v>
      </c>
      <c r="F8" s="8">
        <v>1724</v>
      </c>
      <c r="G8" s="10">
        <v>1884</v>
      </c>
      <c r="H8" s="8">
        <v>1476</v>
      </c>
      <c r="I8" s="10">
        <v>1396</v>
      </c>
      <c r="J8" s="8">
        <v>1640</v>
      </c>
      <c r="K8" s="18"/>
      <c r="L8" s="6" t="s">
        <v>195</v>
      </c>
      <c r="M8" s="3">
        <v>2029.7142857142858</v>
      </c>
      <c r="O8" t="s">
        <v>22</v>
      </c>
      <c r="P8" t="s">
        <v>5</v>
      </c>
      <c r="Q8">
        <f t="shared" si="0"/>
        <v>2063.6000000000004</v>
      </c>
    </row>
    <row r="9" spans="1:17" x14ac:dyDescent="0.3">
      <c r="A9" s="6" t="s">
        <v>51</v>
      </c>
      <c r="B9" s="8">
        <v>1576</v>
      </c>
      <c r="C9" s="10">
        <v>1580</v>
      </c>
      <c r="D9" s="8">
        <v>1908</v>
      </c>
      <c r="E9" s="10">
        <v>1516</v>
      </c>
      <c r="F9" s="8">
        <v>2240</v>
      </c>
      <c r="G9" s="10">
        <v>2056</v>
      </c>
      <c r="H9" s="8">
        <v>3236</v>
      </c>
      <c r="I9" s="10">
        <v>4596</v>
      </c>
      <c r="J9" s="8">
        <v>2228</v>
      </c>
      <c r="K9" s="18"/>
      <c r="L9" s="6" t="s">
        <v>49</v>
      </c>
      <c r="M9" s="3">
        <v>1700.5714285714287</v>
      </c>
      <c r="O9" t="s">
        <v>26</v>
      </c>
      <c r="P9" t="s">
        <v>9</v>
      </c>
      <c r="Q9">
        <f t="shared" si="0"/>
        <v>2083.0857142857139</v>
      </c>
    </row>
    <row r="10" spans="1:17" x14ac:dyDescent="0.3">
      <c r="A10" s="6" t="s">
        <v>53</v>
      </c>
      <c r="B10" s="8">
        <v>1316</v>
      </c>
      <c r="C10" s="10">
        <v>1360</v>
      </c>
      <c r="D10" s="8">
        <v>1352</v>
      </c>
      <c r="E10" s="10">
        <v>1492</v>
      </c>
      <c r="F10" s="8">
        <v>1392</v>
      </c>
      <c r="G10" s="10">
        <v>1456</v>
      </c>
      <c r="H10" s="8">
        <v>1340</v>
      </c>
      <c r="I10" s="10">
        <v>1548</v>
      </c>
      <c r="J10" s="8">
        <v>2148</v>
      </c>
      <c r="K10" s="18"/>
      <c r="L10" s="6" t="s">
        <v>51</v>
      </c>
      <c r="M10" s="3">
        <v>2117.7142857142858</v>
      </c>
    </row>
    <row r="11" spans="1:17" x14ac:dyDescent="0.3">
      <c r="A11" s="6" t="s">
        <v>55</v>
      </c>
      <c r="B11" s="8">
        <v>2032</v>
      </c>
      <c r="C11" s="10">
        <v>1300</v>
      </c>
      <c r="D11" s="8">
        <v>2772</v>
      </c>
      <c r="E11" s="10">
        <v>5632</v>
      </c>
      <c r="F11" s="8">
        <v>1540</v>
      </c>
      <c r="G11" s="10">
        <v>1844</v>
      </c>
      <c r="H11" s="8">
        <v>1564</v>
      </c>
      <c r="I11" s="10">
        <v>1316</v>
      </c>
      <c r="J11" s="8">
        <v>1308</v>
      </c>
      <c r="K11" s="18"/>
      <c r="L11" s="6" t="s">
        <v>53</v>
      </c>
      <c r="M11" s="3">
        <v>1420</v>
      </c>
      <c r="O11" t="s">
        <v>31</v>
      </c>
      <c r="P11" t="s">
        <v>14</v>
      </c>
      <c r="Q11">
        <f t="shared" si="0"/>
        <v>1873.5714285714287</v>
      </c>
    </row>
    <row r="12" spans="1:17" x14ac:dyDescent="0.3">
      <c r="A12" s="6" t="s">
        <v>48</v>
      </c>
      <c r="B12" s="8">
        <v>1748</v>
      </c>
      <c r="C12" s="10">
        <v>2920</v>
      </c>
      <c r="D12" s="8">
        <v>11948</v>
      </c>
      <c r="E12" s="10">
        <v>1592</v>
      </c>
      <c r="F12" s="8">
        <v>1516</v>
      </c>
      <c r="G12" s="10">
        <v>3856</v>
      </c>
      <c r="H12" s="8">
        <v>1324</v>
      </c>
      <c r="I12" s="10">
        <v>2124</v>
      </c>
      <c r="J12" s="8">
        <v>1512</v>
      </c>
      <c r="K12" s="18"/>
      <c r="L12" s="6" t="s">
        <v>55</v>
      </c>
      <c r="M12" s="3">
        <v>1768</v>
      </c>
      <c r="O12" t="s">
        <v>30</v>
      </c>
      <c r="P12" t="s">
        <v>13</v>
      </c>
      <c r="Q12">
        <f t="shared" si="0"/>
        <v>1887.8928571428571</v>
      </c>
    </row>
    <row r="13" spans="1:17" x14ac:dyDescent="0.3">
      <c r="A13" s="6" t="s">
        <v>58</v>
      </c>
      <c r="B13" s="8">
        <v>1576</v>
      </c>
      <c r="C13" s="10">
        <v>1660</v>
      </c>
      <c r="D13" s="8">
        <v>1356</v>
      </c>
      <c r="E13" s="10">
        <v>1280</v>
      </c>
      <c r="F13" s="8">
        <v>1380</v>
      </c>
      <c r="G13" s="10">
        <v>1768</v>
      </c>
      <c r="H13" s="8">
        <v>2508</v>
      </c>
      <c r="I13" s="10">
        <v>6296</v>
      </c>
      <c r="J13" s="8">
        <v>1712</v>
      </c>
      <c r="K13" s="18"/>
      <c r="L13" s="6" t="s">
        <v>48</v>
      </c>
      <c r="M13" s="3">
        <v>2181.1428571428573</v>
      </c>
      <c r="O13" t="s">
        <v>29</v>
      </c>
      <c r="P13" t="s">
        <v>12</v>
      </c>
      <c r="Q13">
        <f t="shared" si="0"/>
        <v>1908.1428571428571</v>
      </c>
    </row>
    <row r="14" spans="1:17" x14ac:dyDescent="0.3">
      <c r="A14" s="6" t="s">
        <v>38</v>
      </c>
      <c r="B14" s="8">
        <v>1272</v>
      </c>
      <c r="C14" s="10">
        <v>1660</v>
      </c>
      <c r="D14" s="8">
        <v>1268</v>
      </c>
      <c r="E14" s="10">
        <v>1696</v>
      </c>
      <c r="F14" s="8">
        <v>1396</v>
      </c>
      <c r="G14" s="10">
        <v>1824</v>
      </c>
      <c r="H14" s="8">
        <v>1376</v>
      </c>
      <c r="I14" s="10">
        <v>2048</v>
      </c>
      <c r="J14" s="8">
        <v>1604</v>
      </c>
      <c r="K14" s="18"/>
      <c r="L14" s="6" t="s">
        <v>58</v>
      </c>
      <c r="M14" s="3">
        <v>1708.5714285714287</v>
      </c>
      <c r="O14" t="s">
        <v>27</v>
      </c>
      <c r="P14" t="s">
        <v>10</v>
      </c>
      <c r="Q14">
        <f t="shared" si="0"/>
        <v>1952.9285714285718</v>
      </c>
    </row>
    <row r="15" spans="1:17" x14ac:dyDescent="0.3">
      <c r="A15" s="6" t="s">
        <v>61</v>
      </c>
      <c r="B15" s="8">
        <v>1724</v>
      </c>
      <c r="C15" s="10">
        <v>1552</v>
      </c>
      <c r="D15" s="8">
        <v>5292</v>
      </c>
      <c r="E15" s="10">
        <v>1404</v>
      </c>
      <c r="F15" s="8">
        <v>1240</v>
      </c>
      <c r="G15" s="10">
        <v>1392</v>
      </c>
      <c r="H15" s="8">
        <v>1464</v>
      </c>
      <c r="I15" s="10">
        <v>2716</v>
      </c>
      <c r="J15" s="8">
        <v>1952</v>
      </c>
      <c r="K15" s="18"/>
      <c r="L15" s="6" t="s">
        <v>38</v>
      </c>
      <c r="M15" s="3">
        <v>1546.8571428571429</v>
      </c>
      <c r="O15" t="s">
        <v>28</v>
      </c>
      <c r="P15" t="s">
        <v>11</v>
      </c>
      <c r="Q15">
        <f t="shared" si="0"/>
        <v>1985.8571428571429</v>
      </c>
    </row>
    <row r="16" spans="1:17" x14ac:dyDescent="0.3">
      <c r="A16" s="6" t="s">
        <v>40</v>
      </c>
      <c r="B16" s="8">
        <v>7784</v>
      </c>
      <c r="C16" s="10">
        <v>1560</v>
      </c>
      <c r="D16" s="8">
        <v>1732</v>
      </c>
      <c r="E16" s="10">
        <v>1420</v>
      </c>
      <c r="F16" s="8">
        <v>1536</v>
      </c>
      <c r="G16" s="10">
        <v>2144</v>
      </c>
      <c r="H16" s="8">
        <v>1608</v>
      </c>
      <c r="I16" s="10">
        <v>1364</v>
      </c>
      <c r="J16" s="8">
        <v>1432</v>
      </c>
      <c r="K16" s="18"/>
      <c r="L16" s="6" t="s">
        <v>61</v>
      </c>
      <c r="M16" s="3">
        <v>1743.4285714285713</v>
      </c>
    </row>
    <row r="17" spans="1:17" x14ac:dyDescent="0.3">
      <c r="A17" s="6" t="s">
        <v>64</v>
      </c>
      <c r="B17" s="8">
        <v>1756</v>
      </c>
      <c r="C17" s="10">
        <v>1768</v>
      </c>
      <c r="D17" s="8">
        <v>1356</v>
      </c>
      <c r="E17" s="10">
        <v>1584</v>
      </c>
      <c r="F17" s="8">
        <v>1712</v>
      </c>
      <c r="G17" s="10">
        <v>6192</v>
      </c>
      <c r="H17" s="8">
        <v>1876</v>
      </c>
      <c r="I17" s="10">
        <v>1316</v>
      </c>
      <c r="J17" s="8">
        <v>1432</v>
      </c>
      <c r="K17" s="18"/>
      <c r="L17" s="6" t="s">
        <v>40</v>
      </c>
      <c r="M17" s="3">
        <v>1633.1428571428571</v>
      </c>
      <c r="O17" t="s">
        <v>32</v>
      </c>
      <c r="P17" t="s">
        <v>16</v>
      </c>
      <c r="Q17">
        <f t="shared" si="0"/>
        <v>1865.8571428571431</v>
      </c>
    </row>
    <row r="18" spans="1:17" x14ac:dyDescent="0.3">
      <c r="A18" s="6" t="s">
        <v>65</v>
      </c>
      <c r="B18" s="8">
        <v>1436</v>
      </c>
      <c r="C18" s="10">
        <v>1420</v>
      </c>
      <c r="D18" s="8">
        <v>1420</v>
      </c>
      <c r="E18" s="10">
        <v>2168</v>
      </c>
      <c r="F18" s="8">
        <v>1524</v>
      </c>
      <c r="G18" s="10">
        <v>1388</v>
      </c>
      <c r="H18" s="8">
        <v>1748</v>
      </c>
      <c r="I18" s="10">
        <v>4380</v>
      </c>
      <c r="J18" s="8">
        <v>2040</v>
      </c>
      <c r="K18" s="18"/>
      <c r="L18" s="6" t="s">
        <v>64</v>
      </c>
      <c r="M18" s="3">
        <v>1640.5714285714287</v>
      </c>
      <c r="O18" t="s">
        <v>33</v>
      </c>
      <c r="P18" t="s">
        <v>15</v>
      </c>
      <c r="Q18">
        <f t="shared" si="0"/>
        <v>1977.5</v>
      </c>
    </row>
    <row r="19" spans="1:17" x14ac:dyDescent="0.3">
      <c r="A19" s="6" t="s">
        <v>44</v>
      </c>
      <c r="B19" s="8">
        <v>1304</v>
      </c>
      <c r="C19" s="10">
        <v>1856</v>
      </c>
      <c r="D19" s="8">
        <v>1712</v>
      </c>
      <c r="E19" s="10">
        <v>1864</v>
      </c>
      <c r="F19" s="8">
        <v>1312</v>
      </c>
      <c r="G19" s="10">
        <v>1516</v>
      </c>
      <c r="H19" s="8">
        <v>1368</v>
      </c>
      <c r="I19" s="10">
        <v>1456</v>
      </c>
      <c r="J19" s="8">
        <v>1268</v>
      </c>
      <c r="K19" s="18"/>
      <c r="L19" s="6" t="s">
        <v>65</v>
      </c>
      <c r="M19" s="3">
        <v>1679.4285714285713</v>
      </c>
    </row>
    <row r="20" spans="1:17" x14ac:dyDescent="0.3">
      <c r="A20" s="6" t="s">
        <v>35</v>
      </c>
      <c r="B20" s="8">
        <v>1384</v>
      </c>
      <c r="C20" s="10">
        <v>1448</v>
      </c>
      <c r="D20" s="8">
        <v>3104</v>
      </c>
      <c r="E20" s="10">
        <v>1644</v>
      </c>
      <c r="F20" s="8">
        <v>4956</v>
      </c>
      <c r="G20" s="10">
        <v>1592</v>
      </c>
      <c r="H20" s="8">
        <v>1684</v>
      </c>
      <c r="I20" s="10">
        <v>1304</v>
      </c>
      <c r="J20" s="8">
        <v>1448</v>
      </c>
      <c r="K20" s="18"/>
      <c r="L20" s="6" t="s">
        <v>44</v>
      </c>
      <c r="M20" s="3">
        <v>1503.4285714285713</v>
      </c>
    </row>
    <row r="21" spans="1:17" x14ac:dyDescent="0.3">
      <c r="A21" s="6" t="s">
        <v>69</v>
      </c>
      <c r="B21" s="8">
        <v>1456</v>
      </c>
      <c r="C21" s="10">
        <v>4436</v>
      </c>
      <c r="D21" s="8">
        <v>1492</v>
      </c>
      <c r="E21" s="10">
        <v>1868</v>
      </c>
      <c r="F21" s="8">
        <v>1492</v>
      </c>
      <c r="G21" s="10">
        <v>1632</v>
      </c>
      <c r="H21" s="8">
        <v>2124</v>
      </c>
      <c r="I21" s="10">
        <v>3092</v>
      </c>
      <c r="J21" s="8">
        <v>1564</v>
      </c>
      <c r="K21" s="18"/>
      <c r="L21" s="6" t="s">
        <v>35</v>
      </c>
      <c r="M21" s="3">
        <v>1757.7142857142858</v>
      </c>
    </row>
    <row r="22" spans="1:17" x14ac:dyDescent="0.3">
      <c r="A22" s="6" t="s">
        <v>66</v>
      </c>
      <c r="B22" s="8">
        <v>1636</v>
      </c>
      <c r="C22" s="10">
        <v>1680</v>
      </c>
      <c r="D22" s="8">
        <v>31908</v>
      </c>
      <c r="E22" s="10">
        <v>2496</v>
      </c>
      <c r="F22" s="8">
        <v>3624</v>
      </c>
      <c r="G22" s="10">
        <v>3012</v>
      </c>
      <c r="H22" s="8">
        <v>1472</v>
      </c>
      <c r="I22" s="10">
        <v>3920</v>
      </c>
      <c r="J22" s="8">
        <v>1468</v>
      </c>
      <c r="K22" s="18"/>
      <c r="L22" s="6" t="s">
        <v>69</v>
      </c>
      <c r="M22" s="3">
        <v>1894.8571428571429</v>
      </c>
    </row>
    <row r="23" spans="1:17" x14ac:dyDescent="0.3">
      <c r="A23" s="6" t="s">
        <v>71</v>
      </c>
      <c r="B23" s="8">
        <v>1680</v>
      </c>
      <c r="C23" s="10">
        <v>1516</v>
      </c>
      <c r="D23" s="8">
        <v>1392</v>
      </c>
      <c r="E23" s="10">
        <v>1724</v>
      </c>
      <c r="F23" s="8">
        <v>4108</v>
      </c>
      <c r="G23" s="10">
        <v>1412</v>
      </c>
      <c r="H23" s="8">
        <v>1808</v>
      </c>
      <c r="I23" s="10">
        <v>1772</v>
      </c>
      <c r="J23" s="8">
        <v>1756</v>
      </c>
      <c r="K23" s="18"/>
      <c r="L23" s="6" t="s">
        <v>66</v>
      </c>
      <c r="M23" s="3">
        <v>2548.5714285714284</v>
      </c>
    </row>
    <row r="24" spans="1:17" x14ac:dyDescent="0.3">
      <c r="A24" s="6" t="s">
        <v>72</v>
      </c>
      <c r="B24" s="8">
        <v>1624</v>
      </c>
      <c r="C24" s="10">
        <v>2548</v>
      </c>
      <c r="D24" s="8">
        <v>6668</v>
      </c>
      <c r="E24" s="10">
        <v>1936</v>
      </c>
      <c r="F24" s="8">
        <v>1980</v>
      </c>
      <c r="G24" s="10">
        <v>2072</v>
      </c>
      <c r="H24" s="8">
        <v>1596</v>
      </c>
      <c r="I24" s="10">
        <v>2212</v>
      </c>
      <c r="J24" s="8">
        <v>1324</v>
      </c>
      <c r="K24" s="18"/>
      <c r="L24" s="6" t="s">
        <v>71</v>
      </c>
      <c r="M24" s="3">
        <v>1666.8571428571429</v>
      </c>
    </row>
    <row r="25" spans="1:17" x14ac:dyDescent="0.3">
      <c r="A25" s="6" t="s">
        <v>73</v>
      </c>
      <c r="B25" s="8">
        <v>4396</v>
      </c>
      <c r="C25" s="10">
        <v>1728</v>
      </c>
      <c r="D25" s="8">
        <v>1532</v>
      </c>
      <c r="E25" s="10">
        <v>2344</v>
      </c>
      <c r="F25" s="8">
        <v>5352</v>
      </c>
      <c r="G25" s="10">
        <v>1448</v>
      </c>
      <c r="H25" s="8">
        <v>1864</v>
      </c>
      <c r="I25" s="10">
        <v>1936</v>
      </c>
      <c r="J25" s="8">
        <v>1532</v>
      </c>
      <c r="K25" s="18"/>
      <c r="L25" s="6" t="s">
        <v>72</v>
      </c>
      <c r="M25" s="3">
        <v>1995.4285714285713</v>
      </c>
    </row>
    <row r="26" spans="1:17" x14ac:dyDescent="0.3">
      <c r="A26" s="6" t="s">
        <v>75</v>
      </c>
      <c r="B26" s="8">
        <v>1464</v>
      </c>
      <c r="C26" s="10">
        <v>4008</v>
      </c>
      <c r="D26" s="8">
        <v>1720</v>
      </c>
      <c r="E26" s="10">
        <v>1936</v>
      </c>
      <c r="F26" s="8">
        <v>3784</v>
      </c>
      <c r="G26" s="10">
        <v>1308</v>
      </c>
      <c r="H26" s="8">
        <v>1896</v>
      </c>
      <c r="I26" s="10">
        <v>1456</v>
      </c>
      <c r="J26" s="8">
        <v>1332</v>
      </c>
      <c r="K26" s="18"/>
      <c r="L26" s="6" t="s">
        <v>73</v>
      </c>
      <c r="M26" s="3">
        <v>2190.2857142857142</v>
      </c>
    </row>
    <row r="27" spans="1:17" x14ac:dyDescent="0.3">
      <c r="A27" s="6" t="s">
        <v>50</v>
      </c>
      <c r="B27" s="8">
        <v>1900</v>
      </c>
      <c r="C27" s="10">
        <v>2304</v>
      </c>
      <c r="D27" s="8">
        <v>1676</v>
      </c>
      <c r="E27" s="10">
        <v>2068</v>
      </c>
      <c r="F27" s="8">
        <v>2532</v>
      </c>
      <c r="G27" s="10">
        <v>1824</v>
      </c>
      <c r="H27" s="8">
        <v>2188</v>
      </c>
      <c r="I27" s="10">
        <v>1676</v>
      </c>
      <c r="J27" s="8">
        <v>9008</v>
      </c>
      <c r="K27" s="18"/>
      <c r="L27" s="6" t="s">
        <v>75</v>
      </c>
      <c r="M27" s="3">
        <v>1941.1428571428571</v>
      </c>
    </row>
    <row r="28" spans="1:17" x14ac:dyDescent="0.3">
      <c r="A28" s="6" t="s">
        <v>56</v>
      </c>
      <c r="B28" s="8">
        <v>1528</v>
      </c>
      <c r="C28" s="10">
        <v>1520</v>
      </c>
      <c r="D28" s="8">
        <v>1784</v>
      </c>
      <c r="E28" s="10">
        <v>2348</v>
      </c>
      <c r="F28" s="8">
        <v>1380</v>
      </c>
      <c r="G28" s="10">
        <v>1568</v>
      </c>
      <c r="H28" s="8">
        <v>1596</v>
      </c>
      <c r="I28" s="10">
        <v>1472</v>
      </c>
      <c r="J28" s="8">
        <v>1404</v>
      </c>
      <c r="K28" s="18"/>
      <c r="L28" s="6" t="s">
        <v>50</v>
      </c>
      <c r="M28" s="3">
        <v>2070.2857142857142</v>
      </c>
    </row>
    <row r="29" spans="1:17" x14ac:dyDescent="0.3">
      <c r="A29" s="6" t="s">
        <v>70</v>
      </c>
      <c r="B29" s="8">
        <v>1600</v>
      </c>
      <c r="C29" s="10">
        <v>2040</v>
      </c>
      <c r="D29" s="8">
        <v>4068</v>
      </c>
      <c r="E29" s="10">
        <v>1224</v>
      </c>
      <c r="F29" s="8">
        <v>2224</v>
      </c>
      <c r="G29" s="10">
        <v>1628</v>
      </c>
      <c r="H29" s="8">
        <v>1616</v>
      </c>
      <c r="I29" s="10">
        <v>3860</v>
      </c>
      <c r="J29" s="8">
        <v>3004</v>
      </c>
      <c r="K29" s="18"/>
      <c r="L29" s="6" t="s">
        <v>56</v>
      </c>
      <c r="M29" s="3">
        <v>1553.1428571428571</v>
      </c>
    </row>
    <row r="30" spans="1:17" x14ac:dyDescent="0.3">
      <c r="A30" s="6" t="s">
        <v>63</v>
      </c>
      <c r="B30" s="8">
        <v>1704</v>
      </c>
      <c r="C30" s="10">
        <v>1368</v>
      </c>
      <c r="D30" s="8">
        <v>1472</v>
      </c>
      <c r="E30" s="10">
        <v>2612</v>
      </c>
      <c r="F30" s="8">
        <v>1576</v>
      </c>
      <c r="G30" s="10">
        <v>1436</v>
      </c>
      <c r="H30" s="8">
        <v>1580</v>
      </c>
      <c r="I30" s="10">
        <v>1500</v>
      </c>
      <c r="J30" s="8">
        <v>1512</v>
      </c>
      <c r="K30" s="18"/>
      <c r="L30" s="6" t="s">
        <v>70</v>
      </c>
      <c r="M30" s="3">
        <v>2281.7142857142858</v>
      </c>
    </row>
    <row r="31" spans="1:17" x14ac:dyDescent="0.3">
      <c r="A31" s="6" t="s">
        <v>79</v>
      </c>
      <c r="B31" s="8">
        <v>2488</v>
      </c>
      <c r="C31" s="10">
        <v>2544</v>
      </c>
      <c r="D31" s="8">
        <v>2484</v>
      </c>
      <c r="E31" s="10">
        <v>1380</v>
      </c>
      <c r="F31" s="8">
        <v>6496</v>
      </c>
      <c r="G31" s="10">
        <v>1976</v>
      </c>
      <c r="H31" s="8">
        <v>4040</v>
      </c>
      <c r="I31" s="10">
        <v>1260</v>
      </c>
      <c r="J31" s="8">
        <v>1460</v>
      </c>
      <c r="K31" s="18"/>
      <c r="L31" s="6" t="s">
        <v>63</v>
      </c>
      <c r="M31" s="3">
        <v>1540</v>
      </c>
    </row>
    <row r="32" spans="1:17" x14ac:dyDescent="0.3">
      <c r="A32" s="6" t="s">
        <v>81</v>
      </c>
      <c r="B32" s="8">
        <v>1296</v>
      </c>
      <c r="C32" s="10">
        <v>1644</v>
      </c>
      <c r="D32" s="8">
        <v>1460</v>
      </c>
      <c r="E32" s="10">
        <v>1476</v>
      </c>
      <c r="F32" s="8">
        <v>1500</v>
      </c>
      <c r="G32" s="10">
        <v>1536</v>
      </c>
      <c r="H32" s="8">
        <v>1324</v>
      </c>
      <c r="I32" s="10">
        <v>1628</v>
      </c>
      <c r="J32" s="8">
        <v>1696</v>
      </c>
      <c r="K32" s="18"/>
      <c r="L32" s="6" t="s">
        <v>79</v>
      </c>
      <c r="M32" s="3">
        <v>2338.8571428571427</v>
      </c>
    </row>
    <row r="33" spans="1:13" x14ac:dyDescent="0.3">
      <c r="A33" s="6" t="s">
        <v>83</v>
      </c>
      <c r="B33" s="8">
        <v>2280</v>
      </c>
      <c r="C33" s="10">
        <v>2072</v>
      </c>
      <c r="D33" s="8">
        <v>1712</v>
      </c>
      <c r="E33" s="10">
        <v>1804</v>
      </c>
      <c r="F33" s="8">
        <v>4392</v>
      </c>
      <c r="G33" s="10">
        <v>2404</v>
      </c>
      <c r="H33" s="8">
        <v>2056</v>
      </c>
      <c r="I33" s="10">
        <v>16160</v>
      </c>
      <c r="J33" s="8">
        <v>1832</v>
      </c>
      <c r="K33" s="18"/>
      <c r="L33" s="6" t="s">
        <v>81</v>
      </c>
      <c r="M33" s="3">
        <v>1509.7142857142858</v>
      </c>
    </row>
    <row r="34" spans="1:13" x14ac:dyDescent="0.3">
      <c r="A34" s="6" t="s">
        <v>84</v>
      </c>
      <c r="B34" s="8">
        <v>1752</v>
      </c>
      <c r="C34" s="10">
        <v>1636</v>
      </c>
      <c r="D34" s="8">
        <v>4168</v>
      </c>
      <c r="E34" s="10">
        <v>1940</v>
      </c>
      <c r="F34" s="8">
        <v>2192</v>
      </c>
      <c r="G34" s="10">
        <v>2372</v>
      </c>
      <c r="H34" s="8">
        <v>2400</v>
      </c>
      <c r="I34" s="10">
        <v>1184</v>
      </c>
      <c r="J34" s="8">
        <v>1776</v>
      </c>
      <c r="K34" s="18"/>
      <c r="L34" s="6" t="s">
        <v>83</v>
      </c>
      <c r="M34" s="3">
        <v>2405.7142857142858</v>
      </c>
    </row>
    <row r="35" spans="1:13" x14ac:dyDescent="0.3">
      <c r="A35" s="6" t="s">
        <v>85</v>
      </c>
      <c r="B35" s="8">
        <v>4380</v>
      </c>
      <c r="C35" s="10">
        <v>2784</v>
      </c>
      <c r="D35" s="8">
        <v>2020</v>
      </c>
      <c r="E35" s="10">
        <v>1724</v>
      </c>
      <c r="F35" s="8">
        <v>1760</v>
      </c>
      <c r="G35" s="10">
        <v>9240</v>
      </c>
      <c r="H35" s="8">
        <v>1404</v>
      </c>
      <c r="I35" s="10">
        <v>1496</v>
      </c>
      <c r="J35" s="8">
        <v>1680</v>
      </c>
      <c r="K35" s="18"/>
      <c r="L35" s="6" t="s">
        <v>84</v>
      </c>
      <c r="M35" s="3">
        <v>2009.7142857142858</v>
      </c>
    </row>
    <row r="36" spans="1:13" x14ac:dyDescent="0.3">
      <c r="A36" s="6" t="s">
        <v>86</v>
      </c>
      <c r="B36" s="8">
        <v>1572</v>
      </c>
      <c r="C36" s="10">
        <v>1428</v>
      </c>
      <c r="D36" s="8">
        <v>1952</v>
      </c>
      <c r="E36" s="10">
        <v>1640</v>
      </c>
      <c r="F36" s="8">
        <v>1768</v>
      </c>
      <c r="G36" s="10">
        <v>1328</v>
      </c>
      <c r="H36" s="8">
        <v>1384</v>
      </c>
      <c r="I36" s="10">
        <v>1284</v>
      </c>
      <c r="J36" s="8">
        <v>1472</v>
      </c>
      <c r="K36" s="18"/>
      <c r="L36" s="6" t="s">
        <v>85</v>
      </c>
      <c r="M36" s="3">
        <v>2263.4285714285716</v>
      </c>
    </row>
    <row r="37" spans="1:13" x14ac:dyDescent="0.3">
      <c r="A37" s="6" t="s">
        <v>88</v>
      </c>
      <c r="B37" s="8">
        <v>2180</v>
      </c>
      <c r="C37" s="10">
        <v>1856</v>
      </c>
      <c r="D37" s="8">
        <v>2540</v>
      </c>
      <c r="E37" s="10">
        <v>2452</v>
      </c>
      <c r="F37" s="8">
        <v>1780</v>
      </c>
      <c r="G37" s="10">
        <v>1500</v>
      </c>
      <c r="H37" s="8">
        <v>10160</v>
      </c>
      <c r="I37" s="10">
        <v>1660</v>
      </c>
      <c r="J37" s="8">
        <v>1436</v>
      </c>
      <c r="K37" s="18"/>
      <c r="L37" s="6" t="s">
        <v>86</v>
      </c>
      <c r="M37" s="3">
        <v>1513.1428571428571</v>
      </c>
    </row>
    <row r="38" spans="1:13" x14ac:dyDescent="0.3">
      <c r="A38" s="6" t="s">
        <v>89</v>
      </c>
      <c r="B38" s="8">
        <v>1872</v>
      </c>
      <c r="C38" s="10">
        <v>1720</v>
      </c>
      <c r="D38" s="8">
        <v>1700</v>
      </c>
      <c r="E38" s="10">
        <v>1592</v>
      </c>
      <c r="F38" s="8">
        <v>1704</v>
      </c>
      <c r="G38" s="10">
        <v>1296</v>
      </c>
      <c r="H38" s="8">
        <v>1552</v>
      </c>
      <c r="I38" s="10">
        <v>2408</v>
      </c>
      <c r="J38" s="8">
        <v>2608</v>
      </c>
      <c r="K38" s="18"/>
      <c r="L38" s="6" t="s">
        <v>88</v>
      </c>
      <c r="M38" s="3">
        <v>1995.4285714285713</v>
      </c>
    </row>
    <row r="39" spans="1:13" x14ac:dyDescent="0.3">
      <c r="A39" s="6" t="s">
        <v>91</v>
      </c>
      <c r="B39" s="8">
        <v>1552</v>
      </c>
      <c r="C39" s="10">
        <v>1600</v>
      </c>
      <c r="D39" s="8">
        <v>3476</v>
      </c>
      <c r="E39" s="10">
        <v>8192</v>
      </c>
      <c r="F39" s="8">
        <v>5552</v>
      </c>
      <c r="G39" s="10">
        <v>1724</v>
      </c>
      <c r="H39" s="8">
        <v>1796</v>
      </c>
      <c r="I39" s="10">
        <v>2908</v>
      </c>
      <c r="J39" s="8">
        <v>2388</v>
      </c>
      <c r="K39" s="18"/>
      <c r="L39" s="6" t="s">
        <v>89</v>
      </c>
      <c r="M39" s="3">
        <v>1792.5714285714287</v>
      </c>
    </row>
    <row r="40" spans="1:13" x14ac:dyDescent="0.3">
      <c r="A40" s="6" t="s">
        <v>93</v>
      </c>
      <c r="B40" s="8">
        <v>1696</v>
      </c>
      <c r="C40" s="10">
        <v>1920</v>
      </c>
      <c r="D40" s="8">
        <v>2912</v>
      </c>
      <c r="E40" s="10">
        <v>1576</v>
      </c>
      <c r="F40" s="8">
        <v>1636</v>
      </c>
      <c r="G40" s="10">
        <v>3768</v>
      </c>
      <c r="H40" s="8">
        <v>1664</v>
      </c>
      <c r="I40" s="10">
        <v>1976</v>
      </c>
      <c r="J40" s="8">
        <v>4540</v>
      </c>
      <c r="K40" s="18"/>
      <c r="L40" s="6" t="s">
        <v>91</v>
      </c>
      <c r="M40" s="3">
        <v>2777.7142857142858</v>
      </c>
    </row>
    <row r="41" spans="1:13" x14ac:dyDescent="0.3">
      <c r="A41" s="6" t="s">
        <v>95</v>
      </c>
      <c r="B41" s="8">
        <v>2260</v>
      </c>
      <c r="C41" s="10">
        <v>1388</v>
      </c>
      <c r="D41" s="8">
        <v>11628</v>
      </c>
      <c r="E41" s="10">
        <v>1480</v>
      </c>
      <c r="F41" s="8">
        <v>2172</v>
      </c>
      <c r="G41" s="10">
        <v>1308</v>
      </c>
      <c r="H41" s="8">
        <v>1312</v>
      </c>
      <c r="I41" s="10">
        <v>1532</v>
      </c>
      <c r="J41" s="8">
        <v>1772</v>
      </c>
      <c r="K41" s="18"/>
      <c r="L41" s="6" t="s">
        <v>93</v>
      </c>
      <c r="M41" s="3">
        <v>2224.5714285714284</v>
      </c>
    </row>
    <row r="42" spans="1:13" x14ac:dyDescent="0.3">
      <c r="A42" s="6" t="s">
        <v>97</v>
      </c>
      <c r="B42" s="8">
        <v>2584</v>
      </c>
      <c r="C42" s="10">
        <v>1792</v>
      </c>
      <c r="D42" s="8">
        <v>2176</v>
      </c>
      <c r="E42" s="10">
        <v>1568</v>
      </c>
      <c r="F42" s="8">
        <v>1372</v>
      </c>
      <c r="G42" s="10">
        <v>1496</v>
      </c>
      <c r="H42" s="8">
        <v>1424</v>
      </c>
      <c r="I42" s="10">
        <v>1372</v>
      </c>
      <c r="J42" s="8">
        <v>1320</v>
      </c>
      <c r="K42" s="18"/>
      <c r="L42" s="6" t="s">
        <v>95</v>
      </c>
      <c r="M42" s="3">
        <v>1702.2857142857142</v>
      </c>
    </row>
    <row r="43" spans="1:13" x14ac:dyDescent="0.3">
      <c r="A43" s="6" t="s">
        <v>99</v>
      </c>
      <c r="B43" s="8">
        <v>1596</v>
      </c>
      <c r="C43" s="10">
        <v>1336</v>
      </c>
      <c r="D43" s="8">
        <v>4076</v>
      </c>
      <c r="E43" s="10">
        <v>1648</v>
      </c>
      <c r="F43" s="8">
        <v>1664</v>
      </c>
      <c r="G43" s="10">
        <v>2008</v>
      </c>
      <c r="H43" s="8">
        <v>1504</v>
      </c>
      <c r="I43" s="10">
        <v>1844</v>
      </c>
      <c r="J43" s="8">
        <v>5312</v>
      </c>
      <c r="K43" s="18"/>
      <c r="L43" s="6" t="s">
        <v>97</v>
      </c>
      <c r="M43" s="3">
        <v>1600</v>
      </c>
    </row>
    <row r="44" spans="1:13" x14ac:dyDescent="0.3">
      <c r="A44" s="6" t="s">
        <v>101</v>
      </c>
      <c r="B44" s="8">
        <v>2372</v>
      </c>
      <c r="C44" s="10">
        <v>1860</v>
      </c>
      <c r="D44" s="8">
        <v>1380</v>
      </c>
      <c r="E44" s="10">
        <v>1500</v>
      </c>
      <c r="F44" s="8">
        <v>1376</v>
      </c>
      <c r="G44" s="10">
        <v>1592</v>
      </c>
      <c r="H44" s="8">
        <v>2192</v>
      </c>
      <c r="I44" s="10">
        <v>1552</v>
      </c>
      <c r="J44" s="8">
        <v>1348</v>
      </c>
      <c r="K44" s="18"/>
      <c r="L44" s="6" t="s">
        <v>99</v>
      </c>
      <c r="M44" s="3">
        <v>2048.5714285714284</v>
      </c>
    </row>
    <row r="45" spans="1:13" x14ac:dyDescent="0.3">
      <c r="A45" s="6" t="s">
        <v>103</v>
      </c>
      <c r="B45" s="8">
        <v>2180</v>
      </c>
      <c r="C45" s="10">
        <v>1488</v>
      </c>
      <c r="D45" s="8">
        <v>10676</v>
      </c>
      <c r="E45" s="10">
        <v>2384</v>
      </c>
      <c r="F45" s="8">
        <v>1736</v>
      </c>
      <c r="G45" s="10">
        <v>2020</v>
      </c>
      <c r="H45" s="8">
        <v>3008</v>
      </c>
      <c r="I45" s="10">
        <v>1444</v>
      </c>
      <c r="J45" s="8">
        <v>2000</v>
      </c>
      <c r="K45" s="18"/>
      <c r="L45" s="6" t="s">
        <v>101</v>
      </c>
      <c r="M45" s="3">
        <v>1636</v>
      </c>
    </row>
    <row r="46" spans="1:13" x14ac:dyDescent="0.3">
      <c r="A46" s="6" t="s">
        <v>104</v>
      </c>
      <c r="B46" s="8">
        <v>1428</v>
      </c>
      <c r="C46" s="10">
        <v>1480</v>
      </c>
      <c r="D46" s="8">
        <v>1504</v>
      </c>
      <c r="E46" s="10">
        <v>1284</v>
      </c>
      <c r="F46" s="8">
        <v>1336</v>
      </c>
      <c r="G46" s="10">
        <v>1500</v>
      </c>
      <c r="H46" s="8">
        <v>1904</v>
      </c>
      <c r="I46" s="10">
        <v>1760</v>
      </c>
      <c r="J46" s="8">
        <v>2524</v>
      </c>
      <c r="K46" s="18"/>
      <c r="L46" s="6" t="s">
        <v>103</v>
      </c>
      <c r="M46" s="3">
        <v>2116.5714285714284</v>
      </c>
    </row>
    <row r="47" spans="1:13" x14ac:dyDescent="0.3">
      <c r="A47" s="6" t="s">
        <v>106</v>
      </c>
      <c r="B47" s="8">
        <v>1520</v>
      </c>
      <c r="C47" s="10">
        <v>3468</v>
      </c>
      <c r="D47" s="8">
        <v>1672</v>
      </c>
      <c r="E47" s="10">
        <v>2808</v>
      </c>
      <c r="F47" s="8">
        <v>3108</v>
      </c>
      <c r="G47" s="10">
        <v>1828</v>
      </c>
      <c r="H47" s="8">
        <v>1764</v>
      </c>
      <c r="I47" s="10">
        <v>1496</v>
      </c>
      <c r="J47" s="8">
        <v>2972</v>
      </c>
      <c r="K47" s="18"/>
      <c r="L47" s="6" t="s">
        <v>104</v>
      </c>
      <c r="M47" s="3">
        <v>1558.8571428571429</v>
      </c>
    </row>
    <row r="48" spans="1:13" x14ac:dyDescent="0.3">
      <c r="A48" s="6" t="s">
        <v>108</v>
      </c>
      <c r="B48" s="8">
        <v>1896</v>
      </c>
      <c r="C48" s="10">
        <v>2072</v>
      </c>
      <c r="D48" s="8">
        <v>1376</v>
      </c>
      <c r="E48" s="10">
        <v>1992</v>
      </c>
      <c r="F48" s="8">
        <v>2192</v>
      </c>
      <c r="G48" s="10">
        <v>1428</v>
      </c>
      <c r="H48" s="8">
        <v>1432</v>
      </c>
      <c r="I48" s="10">
        <v>1340</v>
      </c>
      <c r="J48" s="8">
        <v>1868</v>
      </c>
      <c r="K48" s="18"/>
      <c r="L48" s="6" t="s">
        <v>106</v>
      </c>
      <c r="M48" s="3">
        <v>2238.8571428571427</v>
      </c>
    </row>
    <row r="49" spans="1:13" x14ac:dyDescent="0.3">
      <c r="A49" s="6" t="s">
        <v>100</v>
      </c>
      <c r="B49" s="8">
        <v>1856</v>
      </c>
      <c r="C49" s="10">
        <v>2188</v>
      </c>
      <c r="D49" s="8">
        <v>2328</v>
      </c>
      <c r="E49" s="10">
        <v>1536</v>
      </c>
      <c r="F49" s="8">
        <v>1956</v>
      </c>
      <c r="G49" s="10">
        <v>2440</v>
      </c>
      <c r="H49" s="8">
        <v>1684</v>
      </c>
      <c r="I49" s="10">
        <v>1856</v>
      </c>
      <c r="J49" s="8">
        <v>1604</v>
      </c>
      <c r="K49" s="18"/>
      <c r="L49" s="6" t="s">
        <v>108</v>
      </c>
      <c r="M49" s="3">
        <v>1723.4285714285713</v>
      </c>
    </row>
    <row r="50" spans="1:13" x14ac:dyDescent="0.3">
      <c r="A50" s="6" t="s">
        <v>82</v>
      </c>
      <c r="B50" s="8">
        <v>1716</v>
      </c>
      <c r="C50" s="10">
        <v>1492</v>
      </c>
      <c r="D50" s="8">
        <v>1536</v>
      </c>
      <c r="E50" s="10">
        <v>1616</v>
      </c>
      <c r="F50" s="8">
        <v>1428</v>
      </c>
      <c r="G50" s="10">
        <v>2244</v>
      </c>
      <c r="H50" s="8">
        <v>2472</v>
      </c>
      <c r="I50" s="10">
        <v>2436</v>
      </c>
      <c r="J50" s="8">
        <v>2632</v>
      </c>
      <c r="K50" s="18"/>
      <c r="L50" s="6" t="s">
        <v>100</v>
      </c>
      <c r="M50" s="3">
        <v>1924.5714285714287</v>
      </c>
    </row>
    <row r="51" spans="1:13" x14ac:dyDescent="0.3">
      <c r="A51" s="6" t="s">
        <v>102</v>
      </c>
      <c r="B51" s="8">
        <v>2340</v>
      </c>
      <c r="C51" s="10">
        <v>5008</v>
      </c>
      <c r="D51" s="8">
        <v>1500</v>
      </c>
      <c r="E51" s="10">
        <v>2032</v>
      </c>
      <c r="F51" s="8">
        <v>1832</v>
      </c>
      <c r="G51" s="10">
        <v>2632</v>
      </c>
      <c r="H51" s="8">
        <v>1420</v>
      </c>
      <c r="I51" s="10">
        <v>2484</v>
      </c>
      <c r="J51" s="8">
        <v>1548</v>
      </c>
      <c r="K51" s="18"/>
      <c r="L51" s="6" t="s">
        <v>82</v>
      </c>
      <c r="M51" s="3">
        <v>1930.2857142857142</v>
      </c>
    </row>
    <row r="52" spans="1:13" x14ac:dyDescent="0.3">
      <c r="A52" s="6" t="s">
        <v>94</v>
      </c>
      <c r="B52" s="8">
        <v>1596</v>
      </c>
      <c r="C52" s="10">
        <v>1364</v>
      </c>
      <c r="D52" s="8">
        <v>1232</v>
      </c>
      <c r="E52" s="10">
        <v>2412</v>
      </c>
      <c r="F52" s="8">
        <v>2096</v>
      </c>
      <c r="G52" s="10">
        <v>1904</v>
      </c>
      <c r="H52" s="8">
        <v>1436</v>
      </c>
      <c r="I52" s="10">
        <v>6436</v>
      </c>
      <c r="J52" s="8">
        <v>1832</v>
      </c>
      <c r="K52" s="18"/>
      <c r="L52" s="6" t="s">
        <v>102</v>
      </c>
      <c r="M52" s="3">
        <v>2052.5714285714284</v>
      </c>
    </row>
    <row r="53" spans="1:13" x14ac:dyDescent="0.3">
      <c r="A53" s="6" t="s">
        <v>110</v>
      </c>
      <c r="B53" s="8">
        <v>1488</v>
      </c>
      <c r="C53" s="10">
        <v>1792</v>
      </c>
      <c r="D53" s="8">
        <v>1456</v>
      </c>
      <c r="E53" s="10">
        <v>1616</v>
      </c>
      <c r="F53" s="8">
        <v>1684</v>
      </c>
      <c r="G53" s="10">
        <v>2152</v>
      </c>
      <c r="H53" s="8">
        <v>1752</v>
      </c>
      <c r="I53" s="10">
        <v>1904</v>
      </c>
      <c r="J53" s="8">
        <v>1460</v>
      </c>
      <c r="K53" s="18"/>
      <c r="L53" s="6" t="s">
        <v>94</v>
      </c>
      <c r="M53" s="3">
        <v>1805.7142857142858</v>
      </c>
    </row>
    <row r="54" spans="1:13" x14ac:dyDescent="0.3">
      <c r="A54" s="6" t="s">
        <v>77</v>
      </c>
      <c r="B54" s="8">
        <v>12552</v>
      </c>
      <c r="C54" s="10">
        <v>1760</v>
      </c>
      <c r="D54" s="8">
        <v>1460</v>
      </c>
      <c r="E54" s="10">
        <v>1964</v>
      </c>
      <c r="F54" s="8">
        <v>1660</v>
      </c>
      <c r="G54" s="10">
        <v>1460</v>
      </c>
      <c r="H54" s="8">
        <v>1536</v>
      </c>
      <c r="I54" s="10">
        <v>2624</v>
      </c>
      <c r="J54" s="8">
        <v>1492</v>
      </c>
      <c r="K54" s="18"/>
      <c r="L54" s="6" t="s">
        <v>110</v>
      </c>
      <c r="M54" s="3">
        <v>1670.8571428571429</v>
      </c>
    </row>
    <row r="55" spans="1:13" x14ac:dyDescent="0.3">
      <c r="A55" s="6" t="s">
        <v>112</v>
      </c>
      <c r="B55" s="8">
        <v>3028</v>
      </c>
      <c r="C55" s="10">
        <v>2000</v>
      </c>
      <c r="D55" s="8">
        <v>3724</v>
      </c>
      <c r="E55" s="10">
        <v>1700</v>
      </c>
      <c r="F55" s="8">
        <v>2260</v>
      </c>
      <c r="G55" s="10">
        <v>1824</v>
      </c>
      <c r="H55" s="8">
        <v>1932</v>
      </c>
      <c r="I55" s="10">
        <v>1972</v>
      </c>
      <c r="J55" s="8">
        <v>1744</v>
      </c>
      <c r="K55" s="18"/>
      <c r="L55" s="6" t="s">
        <v>77</v>
      </c>
      <c r="M55" s="3">
        <v>1785.1428571428571</v>
      </c>
    </row>
    <row r="56" spans="1:13" x14ac:dyDescent="0.3">
      <c r="A56" s="6" t="s">
        <v>107</v>
      </c>
      <c r="B56" s="8">
        <v>2356</v>
      </c>
      <c r="C56" s="10">
        <v>1624</v>
      </c>
      <c r="D56" s="8">
        <v>6344</v>
      </c>
      <c r="E56" s="10">
        <v>2020</v>
      </c>
      <c r="F56" s="8">
        <v>1728</v>
      </c>
      <c r="G56" s="10">
        <v>1792</v>
      </c>
      <c r="H56" s="8">
        <v>1384</v>
      </c>
      <c r="I56" s="10">
        <v>1452</v>
      </c>
      <c r="J56" s="8">
        <v>2196</v>
      </c>
      <c r="K56" s="18"/>
      <c r="L56" s="6" t="s">
        <v>112</v>
      </c>
      <c r="M56" s="3">
        <v>2108.5714285714284</v>
      </c>
    </row>
    <row r="57" spans="1:13" x14ac:dyDescent="0.3">
      <c r="A57" s="6" t="s">
        <v>113</v>
      </c>
      <c r="B57" s="8">
        <v>1756</v>
      </c>
      <c r="C57" s="10">
        <v>1540</v>
      </c>
      <c r="D57" s="8">
        <v>1552</v>
      </c>
      <c r="E57" s="10">
        <v>6412</v>
      </c>
      <c r="F57" s="8">
        <v>1876</v>
      </c>
      <c r="G57" s="10">
        <v>1516</v>
      </c>
      <c r="H57" s="8">
        <v>1696</v>
      </c>
      <c r="I57" s="10">
        <v>1588</v>
      </c>
      <c r="J57" s="8">
        <v>2148</v>
      </c>
      <c r="K57" s="18"/>
      <c r="L57" s="6" t="s">
        <v>107</v>
      </c>
      <c r="M57" s="3">
        <v>1881.1428571428571</v>
      </c>
    </row>
    <row r="58" spans="1:13" x14ac:dyDescent="0.3">
      <c r="A58" s="6" t="s">
        <v>111</v>
      </c>
      <c r="B58" s="8">
        <v>1544</v>
      </c>
      <c r="C58" s="10">
        <v>1732</v>
      </c>
      <c r="D58" s="8">
        <v>7504</v>
      </c>
      <c r="E58" s="10">
        <v>1868</v>
      </c>
      <c r="F58" s="8">
        <v>1392</v>
      </c>
      <c r="G58" s="10">
        <v>1696</v>
      </c>
      <c r="H58" s="8">
        <v>1428</v>
      </c>
      <c r="I58" s="10">
        <v>1952</v>
      </c>
      <c r="J58" s="8">
        <v>1636</v>
      </c>
      <c r="K58" s="18"/>
      <c r="L58" s="6" t="s">
        <v>113</v>
      </c>
      <c r="M58" s="3">
        <v>1736.5714285714287</v>
      </c>
    </row>
    <row r="59" spans="1:13" x14ac:dyDescent="0.3">
      <c r="A59" s="6" t="s">
        <v>114</v>
      </c>
      <c r="B59" s="8">
        <v>2396</v>
      </c>
      <c r="C59" s="10">
        <v>2996</v>
      </c>
      <c r="D59" s="8">
        <v>1576</v>
      </c>
      <c r="E59" s="10">
        <v>4740</v>
      </c>
      <c r="F59" s="8">
        <v>1604</v>
      </c>
      <c r="G59" s="10">
        <v>1752</v>
      </c>
      <c r="H59" s="8">
        <v>1512</v>
      </c>
      <c r="I59" s="10">
        <v>3544</v>
      </c>
      <c r="J59" s="8">
        <v>2724</v>
      </c>
      <c r="K59" s="18"/>
      <c r="L59" s="6" t="s">
        <v>111</v>
      </c>
      <c r="M59" s="3">
        <v>1693.7142857142858</v>
      </c>
    </row>
    <row r="60" spans="1:13" x14ac:dyDescent="0.3">
      <c r="A60" s="6" t="s">
        <v>109</v>
      </c>
      <c r="B60" s="8">
        <v>1484</v>
      </c>
      <c r="C60" s="10">
        <v>2356</v>
      </c>
      <c r="D60" s="8">
        <v>1480</v>
      </c>
      <c r="E60" s="10">
        <v>2540</v>
      </c>
      <c r="F60" s="8">
        <v>1804</v>
      </c>
      <c r="G60" s="10">
        <v>1956</v>
      </c>
      <c r="H60" s="8">
        <v>1484</v>
      </c>
      <c r="I60" s="10">
        <v>1508</v>
      </c>
      <c r="J60" s="8">
        <v>1848</v>
      </c>
      <c r="K60" s="18"/>
      <c r="L60" s="6" t="s">
        <v>114</v>
      </c>
      <c r="M60" s="3">
        <v>2370.2857142857142</v>
      </c>
    </row>
    <row r="61" spans="1:13" x14ac:dyDescent="0.3">
      <c r="A61" s="6" t="s">
        <v>74</v>
      </c>
      <c r="B61" s="8">
        <v>1364</v>
      </c>
      <c r="C61" s="10">
        <v>1664</v>
      </c>
      <c r="D61" s="8">
        <v>2740</v>
      </c>
      <c r="E61" s="10">
        <v>1644</v>
      </c>
      <c r="F61" s="8">
        <v>2464</v>
      </c>
      <c r="G61" s="10">
        <v>1492</v>
      </c>
      <c r="H61" s="8">
        <v>1528</v>
      </c>
      <c r="I61" s="10">
        <v>2412</v>
      </c>
      <c r="J61" s="8">
        <v>1492</v>
      </c>
      <c r="K61" s="18"/>
      <c r="L61" s="6" t="s">
        <v>109</v>
      </c>
      <c r="M61" s="3">
        <v>1777.1428571428571</v>
      </c>
    </row>
    <row r="62" spans="1:13" x14ac:dyDescent="0.3">
      <c r="A62" s="6" t="s">
        <v>105</v>
      </c>
      <c r="B62" s="8">
        <v>1572</v>
      </c>
      <c r="C62" s="10">
        <v>4084</v>
      </c>
      <c r="D62" s="8">
        <v>1716</v>
      </c>
      <c r="E62" s="10">
        <v>1444</v>
      </c>
      <c r="F62" s="8">
        <v>1288</v>
      </c>
      <c r="G62" s="10">
        <v>1692</v>
      </c>
      <c r="H62" s="8">
        <v>1440</v>
      </c>
      <c r="I62" s="10">
        <v>1648</v>
      </c>
      <c r="J62" s="8">
        <v>1592</v>
      </c>
      <c r="K62" s="18"/>
      <c r="L62" s="6" t="s">
        <v>74</v>
      </c>
      <c r="M62" s="3">
        <v>1813.7142857142858</v>
      </c>
    </row>
    <row r="63" spans="1:13" x14ac:dyDescent="0.3">
      <c r="A63" s="6" t="s">
        <v>62</v>
      </c>
      <c r="B63" s="8">
        <v>1964</v>
      </c>
      <c r="C63" s="10">
        <v>2084</v>
      </c>
      <c r="D63" s="8">
        <v>1420</v>
      </c>
      <c r="E63" s="10">
        <v>1416</v>
      </c>
      <c r="F63" s="8">
        <v>1416</v>
      </c>
      <c r="G63" s="10">
        <v>1580</v>
      </c>
      <c r="H63" s="8">
        <v>1928</v>
      </c>
      <c r="I63" s="10">
        <v>1352</v>
      </c>
      <c r="J63" s="8">
        <v>1676</v>
      </c>
      <c r="K63" s="18"/>
      <c r="L63" s="6" t="s">
        <v>105</v>
      </c>
      <c r="M63" s="3">
        <v>1586.2857142857142</v>
      </c>
    </row>
    <row r="64" spans="1:13" x14ac:dyDescent="0.3">
      <c r="A64" s="6" t="s">
        <v>68</v>
      </c>
      <c r="B64" s="8">
        <v>1440</v>
      </c>
      <c r="C64" s="10">
        <v>1612</v>
      </c>
      <c r="D64" s="8">
        <v>1512</v>
      </c>
      <c r="E64" s="10">
        <v>21128</v>
      </c>
      <c r="F64" s="8">
        <v>1628</v>
      </c>
      <c r="G64" s="10">
        <v>14348</v>
      </c>
      <c r="H64" s="8">
        <v>6144</v>
      </c>
      <c r="I64" s="10">
        <v>1580</v>
      </c>
      <c r="J64" s="8">
        <v>1564</v>
      </c>
      <c r="K64" s="18"/>
      <c r="L64" s="6" t="s">
        <v>62</v>
      </c>
      <c r="M64" s="3">
        <v>1628.5714285714287</v>
      </c>
    </row>
    <row r="65" spans="1:13" x14ac:dyDescent="0.3">
      <c r="A65" s="6" t="s">
        <v>92</v>
      </c>
      <c r="B65" s="8">
        <v>2140</v>
      </c>
      <c r="C65" s="10">
        <v>1376</v>
      </c>
      <c r="D65" s="8">
        <v>1896</v>
      </c>
      <c r="E65" s="10">
        <v>1440</v>
      </c>
      <c r="F65" s="8">
        <v>1644</v>
      </c>
      <c r="G65" s="10">
        <v>1632</v>
      </c>
      <c r="H65" s="8">
        <v>1772</v>
      </c>
      <c r="I65" s="10">
        <v>1772</v>
      </c>
      <c r="J65" s="8">
        <v>1584</v>
      </c>
      <c r="K65" s="18"/>
      <c r="L65" s="6" t="s">
        <v>68</v>
      </c>
      <c r="M65" s="3">
        <v>4055.4285714285716</v>
      </c>
    </row>
    <row r="66" spans="1:13" x14ac:dyDescent="0.3">
      <c r="A66" s="6" t="s">
        <v>87</v>
      </c>
      <c r="B66" s="8">
        <v>2964</v>
      </c>
      <c r="C66" s="10">
        <v>2576</v>
      </c>
      <c r="D66" s="8">
        <v>1504</v>
      </c>
      <c r="E66" s="10">
        <v>1476</v>
      </c>
      <c r="F66" s="8">
        <v>2384</v>
      </c>
      <c r="G66" s="10">
        <v>1488</v>
      </c>
      <c r="H66" s="8">
        <v>2116</v>
      </c>
      <c r="I66" s="10">
        <v>4488</v>
      </c>
      <c r="J66" s="8">
        <v>2288</v>
      </c>
      <c r="K66" s="18"/>
      <c r="L66" s="6" t="s">
        <v>92</v>
      </c>
      <c r="M66" s="3">
        <v>1677.1428571428571</v>
      </c>
    </row>
    <row r="67" spans="1:13" x14ac:dyDescent="0.3">
      <c r="A67" s="6" t="s">
        <v>96</v>
      </c>
      <c r="B67" s="8">
        <v>1756</v>
      </c>
      <c r="C67" s="10">
        <v>2008</v>
      </c>
      <c r="D67" s="8">
        <v>2164</v>
      </c>
      <c r="E67" s="10">
        <v>2184</v>
      </c>
      <c r="F67" s="8">
        <v>1416</v>
      </c>
      <c r="G67" s="10">
        <v>2132</v>
      </c>
      <c r="H67" s="8">
        <v>1424</v>
      </c>
      <c r="I67" s="10">
        <v>1888</v>
      </c>
      <c r="J67" s="8">
        <v>2344</v>
      </c>
      <c r="K67" s="18"/>
      <c r="L67" s="6" t="s">
        <v>87</v>
      </c>
      <c r="M67" s="3">
        <v>2188.5714285714284</v>
      </c>
    </row>
    <row r="68" spans="1:13" x14ac:dyDescent="0.3">
      <c r="A68" s="6" t="s">
        <v>67</v>
      </c>
      <c r="B68" s="8">
        <v>1392</v>
      </c>
      <c r="C68" s="10">
        <v>1944</v>
      </c>
      <c r="D68" s="8">
        <v>1484</v>
      </c>
      <c r="E68" s="10">
        <v>3428</v>
      </c>
      <c r="F68" s="8">
        <v>1972</v>
      </c>
      <c r="G68" s="10">
        <v>1704</v>
      </c>
      <c r="H68" s="8">
        <v>1428</v>
      </c>
      <c r="I68" s="10">
        <v>3656</v>
      </c>
      <c r="J68" s="8">
        <v>1636</v>
      </c>
      <c r="K68" s="18"/>
      <c r="L68" s="6" t="s">
        <v>96</v>
      </c>
      <c r="M68" s="3">
        <v>1936.5714285714287</v>
      </c>
    </row>
    <row r="69" spans="1:13" x14ac:dyDescent="0.3">
      <c r="A69" s="6" t="s">
        <v>98</v>
      </c>
      <c r="B69" s="8">
        <v>1396</v>
      </c>
      <c r="C69" s="10">
        <v>1984</v>
      </c>
      <c r="D69" s="8">
        <v>2720</v>
      </c>
      <c r="E69" s="10">
        <v>1432</v>
      </c>
      <c r="F69" s="8">
        <v>2328</v>
      </c>
      <c r="G69" s="10">
        <v>27888</v>
      </c>
      <c r="H69" s="8">
        <v>1816</v>
      </c>
      <c r="I69" s="10">
        <v>2328</v>
      </c>
      <c r="J69" s="8">
        <v>2792</v>
      </c>
      <c r="K69" s="18"/>
      <c r="L69" s="6" t="s">
        <v>67</v>
      </c>
      <c r="M69" s="3">
        <v>1942.2857142857142</v>
      </c>
    </row>
    <row r="70" spans="1:13" x14ac:dyDescent="0.3">
      <c r="A70" s="6" t="s">
        <v>54</v>
      </c>
      <c r="B70" s="8">
        <v>1620</v>
      </c>
      <c r="C70" s="10">
        <v>1412</v>
      </c>
      <c r="D70" s="8">
        <v>3604</v>
      </c>
      <c r="E70" s="10">
        <v>1820</v>
      </c>
      <c r="F70" s="8">
        <v>1744</v>
      </c>
      <c r="G70" s="10">
        <v>1572</v>
      </c>
      <c r="H70" s="8">
        <v>1336</v>
      </c>
      <c r="I70" s="10">
        <v>1480</v>
      </c>
      <c r="J70" s="8">
        <v>1604</v>
      </c>
      <c r="K70" s="18"/>
      <c r="L70" s="6" t="s">
        <v>98</v>
      </c>
      <c r="M70" s="3">
        <v>2200</v>
      </c>
    </row>
    <row r="71" spans="1:13" x14ac:dyDescent="0.3">
      <c r="A71" s="6" t="s">
        <v>59</v>
      </c>
      <c r="B71" s="8">
        <v>1844</v>
      </c>
      <c r="C71" s="10">
        <v>1268</v>
      </c>
      <c r="D71" s="8">
        <v>2548</v>
      </c>
      <c r="E71" s="10">
        <v>4024</v>
      </c>
      <c r="F71" s="8">
        <v>1584</v>
      </c>
      <c r="G71" s="10">
        <v>1752</v>
      </c>
      <c r="H71" s="8">
        <v>2172</v>
      </c>
      <c r="I71" s="10">
        <v>3296</v>
      </c>
      <c r="J71" s="8">
        <v>1396</v>
      </c>
      <c r="K71" s="18"/>
      <c r="L71" s="6" t="s">
        <v>54</v>
      </c>
      <c r="M71" s="3">
        <v>1607.4285714285713</v>
      </c>
    </row>
    <row r="72" spans="1:13" x14ac:dyDescent="0.3">
      <c r="A72" s="6" t="s">
        <v>52</v>
      </c>
      <c r="B72" s="8">
        <v>8840</v>
      </c>
      <c r="C72" s="10">
        <v>1428</v>
      </c>
      <c r="D72" s="8">
        <v>1744</v>
      </c>
      <c r="E72" s="10">
        <v>1612</v>
      </c>
      <c r="F72" s="8">
        <v>1588</v>
      </c>
      <c r="G72" s="10">
        <v>1436</v>
      </c>
      <c r="H72" s="8">
        <v>1652</v>
      </c>
      <c r="I72" s="10">
        <v>1496</v>
      </c>
      <c r="J72" s="8">
        <v>5300</v>
      </c>
      <c r="K72" s="18"/>
      <c r="L72" s="6" t="s">
        <v>59</v>
      </c>
      <c r="M72" s="3">
        <v>2084.5714285714284</v>
      </c>
    </row>
    <row r="73" spans="1:13" x14ac:dyDescent="0.3">
      <c r="A73" s="6" t="s">
        <v>90</v>
      </c>
      <c r="B73" s="8">
        <v>2484</v>
      </c>
      <c r="C73" s="10">
        <v>1620</v>
      </c>
      <c r="D73" s="8">
        <v>1480</v>
      </c>
      <c r="E73" s="10">
        <v>3160</v>
      </c>
      <c r="F73" s="8">
        <v>1300</v>
      </c>
      <c r="G73" s="10">
        <v>1596</v>
      </c>
      <c r="H73" s="8">
        <v>2116</v>
      </c>
      <c r="I73" s="10">
        <v>1500</v>
      </c>
      <c r="J73" s="8">
        <v>1620</v>
      </c>
      <c r="K73" s="18"/>
      <c r="L73" s="6" t="s">
        <v>52</v>
      </c>
      <c r="M73" s="3">
        <v>2118.2857142857142</v>
      </c>
    </row>
    <row r="74" spans="1:13" x14ac:dyDescent="0.3">
      <c r="A74" s="6" t="s">
        <v>76</v>
      </c>
      <c r="B74" s="8">
        <v>1576</v>
      </c>
      <c r="C74" s="10">
        <v>2184</v>
      </c>
      <c r="D74" s="8">
        <v>1524</v>
      </c>
      <c r="E74" s="10">
        <v>1860</v>
      </c>
      <c r="F74" s="8">
        <v>1936</v>
      </c>
      <c r="G74" s="10">
        <v>2004</v>
      </c>
      <c r="H74" s="8">
        <v>2724</v>
      </c>
      <c r="I74" s="10">
        <v>1372</v>
      </c>
      <c r="J74" s="8">
        <v>3712</v>
      </c>
      <c r="K74" s="18"/>
      <c r="L74" s="6" t="s">
        <v>90</v>
      </c>
      <c r="M74" s="3">
        <v>1773.7142857142858</v>
      </c>
    </row>
    <row r="75" spans="1:13" x14ac:dyDescent="0.3">
      <c r="A75" s="6" t="s">
        <v>42</v>
      </c>
      <c r="B75" s="8">
        <v>2164</v>
      </c>
      <c r="C75" s="10">
        <v>2692</v>
      </c>
      <c r="D75" s="8">
        <v>2128</v>
      </c>
      <c r="E75" s="10">
        <v>3916</v>
      </c>
      <c r="F75" s="8">
        <v>15520</v>
      </c>
      <c r="G75" s="10">
        <v>1584</v>
      </c>
      <c r="H75" s="8">
        <v>1824</v>
      </c>
      <c r="I75" s="10">
        <v>1704</v>
      </c>
      <c r="J75" s="8">
        <v>1936</v>
      </c>
      <c r="K75" s="18"/>
      <c r="L75" s="6" t="s">
        <v>76</v>
      </c>
      <c r="M75" s="3">
        <v>1972.5714285714287</v>
      </c>
    </row>
    <row r="76" spans="1:13" x14ac:dyDescent="0.3">
      <c r="A76" s="6" t="s">
        <v>46</v>
      </c>
      <c r="B76" s="8">
        <v>2760</v>
      </c>
      <c r="C76" s="10">
        <v>1560</v>
      </c>
      <c r="D76" s="8">
        <v>2108</v>
      </c>
      <c r="E76" s="10">
        <v>1888</v>
      </c>
      <c r="F76" s="8">
        <v>3100</v>
      </c>
      <c r="G76" s="10">
        <v>2104</v>
      </c>
      <c r="H76" s="8">
        <v>1720</v>
      </c>
      <c r="I76" s="10">
        <v>1360</v>
      </c>
      <c r="J76" s="8">
        <v>1712</v>
      </c>
      <c r="K76" s="18"/>
      <c r="L76" s="6" t="s">
        <v>42</v>
      </c>
      <c r="M76" s="3">
        <v>2337.7142857142858</v>
      </c>
    </row>
    <row r="77" spans="1:13" x14ac:dyDescent="0.3">
      <c r="A77" s="6" t="s">
        <v>80</v>
      </c>
      <c r="B77" s="8">
        <v>1908</v>
      </c>
      <c r="C77" s="10">
        <v>1476</v>
      </c>
      <c r="D77" s="8">
        <v>1892</v>
      </c>
      <c r="E77" s="10">
        <v>1516</v>
      </c>
      <c r="F77" s="8">
        <v>4144</v>
      </c>
      <c r="G77" s="10">
        <v>2280</v>
      </c>
      <c r="H77" s="8">
        <v>1616</v>
      </c>
      <c r="I77" s="10">
        <v>1488</v>
      </c>
      <c r="J77" s="8">
        <v>1784</v>
      </c>
      <c r="K77" s="18"/>
      <c r="L77" s="6" t="s">
        <v>46</v>
      </c>
      <c r="M77" s="3">
        <v>1978.8571428571429</v>
      </c>
    </row>
    <row r="78" spans="1:13" x14ac:dyDescent="0.3">
      <c r="A78" s="6" t="s">
        <v>57</v>
      </c>
      <c r="B78" s="8">
        <v>7352</v>
      </c>
      <c r="C78" s="10">
        <v>1360</v>
      </c>
      <c r="D78" s="8">
        <v>1500</v>
      </c>
      <c r="E78" s="10">
        <v>1584</v>
      </c>
      <c r="F78" s="8">
        <v>2060</v>
      </c>
      <c r="G78" s="10">
        <v>2168</v>
      </c>
      <c r="H78" s="8">
        <v>2372</v>
      </c>
      <c r="I78" s="10">
        <v>1520</v>
      </c>
      <c r="J78" s="8">
        <v>2104</v>
      </c>
      <c r="K78" s="18"/>
      <c r="L78" s="6" t="s">
        <v>80</v>
      </c>
      <c r="M78" s="3">
        <v>1783.4285714285713</v>
      </c>
    </row>
    <row r="79" spans="1:13" x14ac:dyDescent="0.3">
      <c r="A79" s="6" t="s">
        <v>60</v>
      </c>
      <c r="B79" s="8">
        <v>3572</v>
      </c>
      <c r="C79" s="10">
        <v>2636</v>
      </c>
      <c r="D79" s="8">
        <v>1844</v>
      </c>
      <c r="E79" s="10">
        <v>2084</v>
      </c>
      <c r="F79" s="8">
        <v>2672</v>
      </c>
      <c r="G79" s="10">
        <v>2520</v>
      </c>
      <c r="H79" s="8">
        <v>2072</v>
      </c>
      <c r="I79" s="10">
        <v>1488</v>
      </c>
      <c r="J79" s="8">
        <v>2228</v>
      </c>
      <c r="K79" s="18"/>
      <c r="L79" s="6" t="s">
        <v>57</v>
      </c>
      <c r="M79" s="3">
        <v>1901.1428571428571</v>
      </c>
    </row>
    <row r="80" spans="1:13" x14ac:dyDescent="0.3">
      <c r="A80" s="11" t="s">
        <v>78</v>
      </c>
      <c r="B80" s="12">
        <v>1892</v>
      </c>
      <c r="C80" s="13">
        <v>4428</v>
      </c>
      <c r="D80" s="12">
        <v>2496</v>
      </c>
      <c r="E80" s="13">
        <v>1392</v>
      </c>
      <c r="F80" s="12">
        <v>1372</v>
      </c>
      <c r="G80" s="13">
        <v>2188</v>
      </c>
      <c r="H80" s="12">
        <v>1920</v>
      </c>
      <c r="I80" s="13">
        <v>1532</v>
      </c>
      <c r="J80" s="12">
        <v>2196</v>
      </c>
      <c r="K80" s="18"/>
      <c r="L80" s="6" t="s">
        <v>60</v>
      </c>
      <c r="M80" s="3">
        <v>2293.7142857142858</v>
      </c>
    </row>
    <row r="81" spans="12:13" x14ac:dyDescent="0.3">
      <c r="L81" s="11" t="s">
        <v>78</v>
      </c>
      <c r="M81" s="3">
        <v>1945.1428571428571</v>
      </c>
    </row>
  </sheetData>
  <sortState xmlns:xlrd2="http://schemas.microsoft.com/office/spreadsheetml/2017/richdata2" ref="L3:M81">
    <sortCondition ref="M2"/>
  </sortState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85294-A831-439D-970D-F7A605051209}">
  <dimension ref="A1:F81"/>
  <sheetViews>
    <sheetView topLeftCell="F1" zoomScale="130" zoomScaleNormal="130" workbookViewId="0">
      <selection activeCell="D2" sqref="D2:F18"/>
    </sheetView>
  </sheetViews>
  <sheetFormatPr defaultRowHeight="14.4" x14ac:dyDescent="0.3"/>
  <cols>
    <col min="1" max="1" width="38.77734375" bestFit="1" customWidth="1"/>
    <col min="2" max="2" width="12.109375" bestFit="1" customWidth="1"/>
    <col min="3" max="3" width="7.21875" customWidth="1"/>
    <col min="4" max="4" width="12.44140625" bestFit="1" customWidth="1"/>
    <col min="5" max="5" width="12.33203125" bestFit="1" customWidth="1"/>
  </cols>
  <sheetData>
    <row r="1" spans="1:6" x14ac:dyDescent="0.3">
      <c r="A1" s="1" t="s">
        <v>0</v>
      </c>
    </row>
    <row r="2" spans="1:6" x14ac:dyDescent="0.3">
      <c r="A2" s="2" t="s">
        <v>127</v>
      </c>
      <c r="B2" s="4">
        <v>1489.3333333333333</v>
      </c>
      <c r="D2" t="s">
        <v>2</v>
      </c>
      <c r="E2" t="s">
        <v>3</v>
      </c>
      <c r="F2">
        <f t="shared" ref="F2:F9" si="0">AVERAGEIF($A$2:$A$81, E2, $B$2:$B$81)</f>
        <v>2106.4444444444443</v>
      </c>
    </row>
    <row r="3" spans="1:6" x14ac:dyDescent="0.3">
      <c r="A3" s="2" t="s">
        <v>184</v>
      </c>
      <c r="B3" s="4">
        <v>1506.6666666666667</v>
      </c>
      <c r="D3" t="s">
        <v>23</v>
      </c>
      <c r="E3" t="s">
        <v>6</v>
      </c>
      <c r="F3">
        <f t="shared" si="0"/>
        <v>2184.2222222222226</v>
      </c>
    </row>
    <row r="4" spans="1:6" x14ac:dyDescent="0.3">
      <c r="A4" s="2" t="s">
        <v>119</v>
      </c>
      <c r="B4" s="4">
        <v>1517.3333333333333</v>
      </c>
      <c r="D4" t="s">
        <v>21</v>
      </c>
      <c r="E4" t="s">
        <v>17</v>
      </c>
      <c r="F4">
        <f t="shared" si="0"/>
        <v>2212.2222222222222</v>
      </c>
    </row>
    <row r="5" spans="1:6" x14ac:dyDescent="0.3">
      <c r="A5" s="2" t="s">
        <v>189</v>
      </c>
      <c r="B5" s="4">
        <v>1536.4444444444443</v>
      </c>
      <c r="D5" t="s">
        <v>25</v>
      </c>
      <c r="E5" t="s">
        <v>8</v>
      </c>
      <c r="F5">
        <f t="shared" si="0"/>
        <v>2220.5777777777776</v>
      </c>
    </row>
    <row r="6" spans="1:6" x14ac:dyDescent="0.3">
      <c r="A6" s="2" t="s">
        <v>115</v>
      </c>
      <c r="B6" s="4">
        <v>1571.5555555555557</v>
      </c>
      <c r="D6" t="s">
        <v>24</v>
      </c>
      <c r="E6" t="s">
        <v>7</v>
      </c>
      <c r="F6">
        <f t="shared" si="0"/>
        <v>2368.7111111111117</v>
      </c>
    </row>
    <row r="7" spans="1:6" x14ac:dyDescent="0.3">
      <c r="A7" s="2" t="s">
        <v>122</v>
      </c>
      <c r="B7" s="4">
        <v>1622.2222222222222</v>
      </c>
      <c r="D7" t="s">
        <v>26</v>
      </c>
      <c r="E7" t="s">
        <v>9</v>
      </c>
      <c r="F7">
        <f t="shared" si="0"/>
        <v>2500.3111111111111</v>
      </c>
    </row>
    <row r="8" spans="1:6" x14ac:dyDescent="0.3">
      <c r="A8" s="2" t="s">
        <v>183</v>
      </c>
      <c r="B8" s="4">
        <v>1635.5555555555557</v>
      </c>
      <c r="D8" t="s">
        <v>20</v>
      </c>
      <c r="E8" t="s">
        <v>4</v>
      </c>
      <c r="F8">
        <f t="shared" si="0"/>
        <v>2514.8444444444444</v>
      </c>
    </row>
    <row r="9" spans="1:6" x14ac:dyDescent="0.3">
      <c r="A9" s="2" t="s">
        <v>126</v>
      </c>
      <c r="B9" s="4">
        <v>1640</v>
      </c>
      <c r="D9" t="s">
        <v>22</v>
      </c>
      <c r="E9" t="s">
        <v>5</v>
      </c>
      <c r="F9">
        <f t="shared" si="0"/>
        <v>2582.7111111111108</v>
      </c>
    </row>
    <row r="10" spans="1:6" x14ac:dyDescent="0.3">
      <c r="A10" s="2" t="s">
        <v>131</v>
      </c>
      <c r="B10" s="4">
        <v>1648.4444444444443</v>
      </c>
    </row>
    <row r="11" spans="1:6" x14ac:dyDescent="0.3">
      <c r="A11" s="2" t="s">
        <v>174</v>
      </c>
      <c r="B11" s="4">
        <v>1678.2222222222222</v>
      </c>
      <c r="D11" t="s">
        <v>31</v>
      </c>
      <c r="E11" t="s">
        <v>14</v>
      </c>
      <c r="F11">
        <f>AVERAGEIF($A$2:$A$81, E11, $B$2:$B$81)</f>
        <v>2137.583333333333</v>
      </c>
    </row>
    <row r="12" spans="1:6" x14ac:dyDescent="0.3">
      <c r="A12" s="2" t="s">
        <v>171</v>
      </c>
      <c r="B12" s="4">
        <v>1685.7777777777778</v>
      </c>
      <c r="D12" t="s">
        <v>30</v>
      </c>
      <c r="E12" t="s">
        <v>13</v>
      </c>
      <c r="F12">
        <f>AVERAGEIF($A$2:$A$81, E12, $B$2:$B$81)</f>
        <v>2265.4444444444439</v>
      </c>
    </row>
    <row r="13" spans="1:6" x14ac:dyDescent="0.3">
      <c r="A13" s="2" t="s">
        <v>186</v>
      </c>
      <c r="B13" s="4">
        <v>1692</v>
      </c>
      <c r="D13" t="s">
        <v>27</v>
      </c>
      <c r="E13" t="s">
        <v>10</v>
      </c>
      <c r="F13">
        <f>AVERAGEIF($A$2:$A$81, E13, $B$2:$B$81)</f>
        <v>2326.4444444444448</v>
      </c>
    </row>
    <row r="14" spans="1:6" x14ac:dyDescent="0.3">
      <c r="A14" s="2" t="s">
        <v>151</v>
      </c>
      <c r="B14" s="4">
        <v>1695.1111111111111</v>
      </c>
      <c r="D14" t="s">
        <v>28</v>
      </c>
      <c r="E14" t="s">
        <v>11</v>
      </c>
      <c r="F14">
        <f>AVERAGEIF($A$2:$A$81, E14, $B$2:$B$81)</f>
        <v>2349.8888888888887</v>
      </c>
    </row>
    <row r="15" spans="1:6" x14ac:dyDescent="0.3">
      <c r="A15" s="2" t="s">
        <v>167</v>
      </c>
      <c r="B15" s="4">
        <v>1700.4444444444443</v>
      </c>
      <c r="D15" t="s">
        <v>29</v>
      </c>
      <c r="E15" t="s">
        <v>12</v>
      </c>
      <c r="F15">
        <f>AVERAGEIF($A$2:$A$81, E15, $B$2:$B$81)</f>
        <v>2579.1944444444443</v>
      </c>
    </row>
    <row r="16" spans="1:6" x14ac:dyDescent="0.3">
      <c r="A16" s="2" t="s">
        <v>140</v>
      </c>
      <c r="B16" s="4">
        <v>1701.7777777777778</v>
      </c>
    </row>
    <row r="17" spans="1:6" x14ac:dyDescent="0.3">
      <c r="A17" s="2" t="s">
        <v>173</v>
      </c>
      <c r="B17" s="4">
        <v>1729.3333333333333</v>
      </c>
      <c r="D17" t="s">
        <v>32</v>
      </c>
      <c r="E17" t="s">
        <v>16</v>
      </c>
      <c r="F17">
        <f>AVERAGEIF($A$2:$A$81, E17, $B$2:$B$81)</f>
        <v>2212.5000000000005</v>
      </c>
    </row>
    <row r="18" spans="1:6" x14ac:dyDescent="0.3">
      <c r="A18" s="2" t="s">
        <v>193</v>
      </c>
      <c r="B18" s="4">
        <v>1732.8888888888889</v>
      </c>
      <c r="D18" t="s">
        <v>33</v>
      </c>
      <c r="E18" t="s">
        <v>15</v>
      </c>
      <c r="F18">
        <f>AVERAGEIF($A$2:$A$81, E18, $B$2:$B$81)</f>
        <v>2450.9222222222215</v>
      </c>
    </row>
    <row r="19" spans="1:6" x14ac:dyDescent="0.3">
      <c r="A19" s="2" t="s">
        <v>123</v>
      </c>
      <c r="B19" s="4">
        <v>1799.1111111111111</v>
      </c>
    </row>
    <row r="20" spans="1:6" x14ac:dyDescent="0.3">
      <c r="A20" s="2" t="s">
        <v>192</v>
      </c>
      <c r="B20" s="4">
        <v>1828</v>
      </c>
    </row>
    <row r="21" spans="1:6" x14ac:dyDescent="0.3">
      <c r="A21" s="2" t="s">
        <v>164</v>
      </c>
      <c r="B21" s="4">
        <v>1828.8888888888889</v>
      </c>
    </row>
    <row r="22" spans="1:6" x14ac:dyDescent="0.3">
      <c r="A22" s="2" t="s">
        <v>157</v>
      </c>
      <c r="B22" s="4">
        <v>1830.6666666666667</v>
      </c>
    </row>
    <row r="23" spans="1:6" x14ac:dyDescent="0.3">
      <c r="A23" s="2" t="s">
        <v>138</v>
      </c>
      <c r="B23" s="4">
        <v>1866.6666666666667</v>
      </c>
    </row>
    <row r="24" spans="1:6" x14ac:dyDescent="0.3">
      <c r="A24" s="2" t="s">
        <v>156</v>
      </c>
      <c r="B24" s="4">
        <v>1875.1111111111111</v>
      </c>
    </row>
    <row r="25" spans="1:6" x14ac:dyDescent="0.3">
      <c r="A25" s="2" t="s">
        <v>144</v>
      </c>
      <c r="B25" s="4">
        <v>1907.5555555555557</v>
      </c>
    </row>
    <row r="26" spans="1:6" x14ac:dyDescent="0.3">
      <c r="A26" s="2" t="s">
        <v>176</v>
      </c>
      <c r="B26" s="4">
        <v>1922.6666666666667</v>
      </c>
    </row>
    <row r="27" spans="1:6" x14ac:dyDescent="0.3">
      <c r="A27" s="2" t="s">
        <v>158</v>
      </c>
      <c r="B27" s="4">
        <v>1924</v>
      </c>
    </row>
    <row r="28" spans="1:6" x14ac:dyDescent="0.3">
      <c r="A28" s="2" t="s">
        <v>161</v>
      </c>
      <c r="B28" s="4">
        <v>1938.6666666666667</v>
      </c>
    </row>
    <row r="29" spans="1:6" x14ac:dyDescent="0.3">
      <c r="A29" s="2" t="s">
        <v>125</v>
      </c>
      <c r="B29" s="4">
        <v>1947.1111111111111</v>
      </c>
    </row>
    <row r="30" spans="1:6" x14ac:dyDescent="0.3">
      <c r="A30" s="2" t="s">
        <v>162</v>
      </c>
      <c r="B30" s="4">
        <v>1952.4444444444443</v>
      </c>
    </row>
    <row r="31" spans="1:6" x14ac:dyDescent="0.3">
      <c r="A31" s="2" t="s">
        <v>149</v>
      </c>
      <c r="B31" s="4">
        <v>2011.5555555555557</v>
      </c>
    </row>
    <row r="32" spans="1:6" x14ac:dyDescent="0.3">
      <c r="A32" s="2" t="s">
        <v>169</v>
      </c>
      <c r="B32" s="4">
        <v>2022.6666666666667</v>
      </c>
    </row>
    <row r="33" spans="1:2" x14ac:dyDescent="0.3">
      <c r="A33" s="2" t="s">
        <v>155</v>
      </c>
      <c r="B33" s="4">
        <v>2025.7777777777778</v>
      </c>
    </row>
    <row r="34" spans="1:2" x14ac:dyDescent="0.3">
      <c r="A34" s="2" t="s">
        <v>132</v>
      </c>
      <c r="B34" s="4">
        <v>2034.6666666666667</v>
      </c>
    </row>
    <row r="35" spans="1:2" x14ac:dyDescent="0.3">
      <c r="A35" s="2" t="s">
        <v>117</v>
      </c>
      <c r="B35" s="4">
        <v>2062.6666666666665</v>
      </c>
    </row>
    <row r="36" spans="1:2" x14ac:dyDescent="0.3">
      <c r="A36" s="2" t="s">
        <v>147</v>
      </c>
      <c r="B36" s="4">
        <v>2071.5555555555557</v>
      </c>
    </row>
    <row r="37" spans="1:2" x14ac:dyDescent="0.3">
      <c r="A37" s="2" t="s">
        <v>128</v>
      </c>
      <c r="B37" s="4">
        <v>2081.7777777777778</v>
      </c>
    </row>
    <row r="38" spans="1:2" x14ac:dyDescent="0.3">
      <c r="A38" s="2" t="s">
        <v>142</v>
      </c>
      <c r="B38" s="4">
        <v>2099.1111111111113</v>
      </c>
    </row>
    <row r="39" spans="1:2" x14ac:dyDescent="0.3">
      <c r="A39" s="2" t="s">
        <v>172</v>
      </c>
      <c r="B39" s="4">
        <v>2100.4444444444443</v>
      </c>
    </row>
    <row r="40" spans="1:2" x14ac:dyDescent="0.3">
      <c r="A40" s="2" t="s">
        <v>137</v>
      </c>
      <c r="B40" s="4">
        <v>2110.2222222222222</v>
      </c>
    </row>
    <row r="41" spans="1:2" x14ac:dyDescent="0.3">
      <c r="A41" s="2" t="s">
        <v>168</v>
      </c>
      <c r="B41" s="4">
        <v>2128.4444444444443</v>
      </c>
    </row>
    <row r="42" spans="1:2" x14ac:dyDescent="0.3">
      <c r="A42" s="2" t="s">
        <v>135</v>
      </c>
      <c r="B42" s="4">
        <v>2145.3333333333335</v>
      </c>
    </row>
    <row r="43" spans="1:2" x14ac:dyDescent="0.3">
      <c r="A43" s="2" t="s">
        <v>146</v>
      </c>
      <c r="B43" s="4">
        <v>2157.3333333333335</v>
      </c>
    </row>
    <row r="44" spans="1:2" x14ac:dyDescent="0.3">
      <c r="A44" s="2" t="s">
        <v>177</v>
      </c>
      <c r="B44" s="4">
        <v>2157.7777777777778</v>
      </c>
    </row>
    <row r="45" spans="1:2" x14ac:dyDescent="0.3">
      <c r="A45" s="2" t="s">
        <v>136</v>
      </c>
      <c r="B45" s="4">
        <v>2170.6666666666665</v>
      </c>
    </row>
    <row r="46" spans="1:2" x14ac:dyDescent="0.3">
      <c r="A46" s="2" t="s">
        <v>143</v>
      </c>
      <c r="B46" s="4">
        <v>2209.3333333333335</v>
      </c>
    </row>
    <row r="47" spans="1:2" x14ac:dyDescent="0.3">
      <c r="A47" s="2" t="s">
        <v>175</v>
      </c>
      <c r="B47" s="4">
        <v>2231.5555555555557</v>
      </c>
    </row>
    <row r="48" spans="1:2" x14ac:dyDescent="0.3">
      <c r="A48" s="2" t="s">
        <v>181</v>
      </c>
      <c r="B48" s="4">
        <v>2242.6666666666665</v>
      </c>
    </row>
    <row r="49" spans="1:2" x14ac:dyDescent="0.3">
      <c r="A49" s="2" t="s">
        <v>159</v>
      </c>
      <c r="B49" s="4">
        <v>2256.4444444444443</v>
      </c>
    </row>
    <row r="50" spans="1:2" x14ac:dyDescent="0.3">
      <c r="A50" s="2" t="s">
        <v>116</v>
      </c>
      <c r="B50" s="4">
        <v>2286.6666666666665</v>
      </c>
    </row>
    <row r="51" spans="1:2" x14ac:dyDescent="0.3">
      <c r="A51" s="2" t="s">
        <v>190</v>
      </c>
      <c r="B51" s="4">
        <v>2292.8888888888887</v>
      </c>
    </row>
    <row r="52" spans="1:2" x14ac:dyDescent="0.3">
      <c r="A52" s="2" t="s">
        <v>166</v>
      </c>
      <c r="B52" s="4">
        <v>2305.7777777777778</v>
      </c>
    </row>
    <row r="53" spans="1:2" x14ac:dyDescent="0.3">
      <c r="A53" s="2" t="s">
        <v>163</v>
      </c>
      <c r="B53" s="4">
        <v>2310.6666666666665</v>
      </c>
    </row>
    <row r="54" spans="1:2" x14ac:dyDescent="0.3">
      <c r="A54" s="2" t="s">
        <v>148</v>
      </c>
      <c r="B54" s="4">
        <v>2320</v>
      </c>
    </row>
    <row r="55" spans="1:2" x14ac:dyDescent="0.3">
      <c r="A55" s="2" t="s">
        <v>165</v>
      </c>
      <c r="B55" s="4">
        <v>2321.7777777777778</v>
      </c>
    </row>
    <row r="56" spans="1:2" x14ac:dyDescent="0.3">
      <c r="A56" s="2" t="s">
        <v>154</v>
      </c>
      <c r="B56" s="4">
        <v>2326.2222222222222</v>
      </c>
    </row>
    <row r="57" spans="1:2" x14ac:dyDescent="0.3">
      <c r="A57" s="2" t="s">
        <v>179</v>
      </c>
      <c r="B57" s="4">
        <v>2332</v>
      </c>
    </row>
    <row r="58" spans="1:2" x14ac:dyDescent="0.3">
      <c r="A58" s="2" t="s">
        <v>130</v>
      </c>
      <c r="B58" s="4">
        <v>2346.2222222222222</v>
      </c>
    </row>
    <row r="59" spans="1:2" x14ac:dyDescent="0.3">
      <c r="A59" s="2" t="s">
        <v>139</v>
      </c>
      <c r="B59" s="4">
        <v>2362.6666666666665</v>
      </c>
    </row>
    <row r="60" spans="1:2" x14ac:dyDescent="0.3">
      <c r="A60" s="2" t="s">
        <v>153</v>
      </c>
      <c r="B60" s="4">
        <v>2364.8888888888887</v>
      </c>
    </row>
    <row r="61" spans="1:2" x14ac:dyDescent="0.3">
      <c r="A61" s="2" t="s">
        <v>170</v>
      </c>
      <c r="B61" s="4">
        <v>2409.7777777777778</v>
      </c>
    </row>
    <row r="62" spans="1:2" x14ac:dyDescent="0.3">
      <c r="A62" s="2" t="s">
        <v>150</v>
      </c>
      <c r="B62" s="4">
        <v>2440</v>
      </c>
    </row>
    <row r="63" spans="1:2" x14ac:dyDescent="0.3">
      <c r="A63" s="2" t="s">
        <v>129</v>
      </c>
      <c r="B63" s="4">
        <v>2446.6666666666665</v>
      </c>
    </row>
    <row r="64" spans="1:2" x14ac:dyDescent="0.3">
      <c r="A64" s="2" t="s">
        <v>141</v>
      </c>
      <c r="B64" s="4">
        <v>2459.1111111111113</v>
      </c>
    </row>
    <row r="65" spans="1:2" x14ac:dyDescent="0.3">
      <c r="A65" s="2" t="s">
        <v>178</v>
      </c>
      <c r="B65" s="4">
        <v>2538.2222222222222</v>
      </c>
    </row>
    <row r="66" spans="1:2" x14ac:dyDescent="0.3">
      <c r="A66" s="2" t="s">
        <v>191</v>
      </c>
      <c r="B66" s="4">
        <v>2680.8888888888887</v>
      </c>
    </row>
    <row r="67" spans="1:2" x14ac:dyDescent="0.3">
      <c r="A67" s="2" t="s">
        <v>185</v>
      </c>
      <c r="B67" s="4">
        <v>2761.3333333333335</v>
      </c>
    </row>
    <row r="68" spans="1:2" x14ac:dyDescent="0.3">
      <c r="A68" s="2" t="s">
        <v>120</v>
      </c>
      <c r="B68" s="4">
        <v>2788.4444444444443</v>
      </c>
    </row>
    <row r="69" spans="1:2" x14ac:dyDescent="0.3">
      <c r="A69" s="2" t="s">
        <v>121</v>
      </c>
      <c r="B69" s="4">
        <v>2797.3333333333335</v>
      </c>
    </row>
    <row r="70" spans="1:2" x14ac:dyDescent="0.3">
      <c r="A70" s="2" t="s">
        <v>194</v>
      </c>
      <c r="B70" s="4">
        <v>2840.4444444444443</v>
      </c>
    </row>
    <row r="71" spans="1:2" x14ac:dyDescent="0.3">
      <c r="A71" s="2" t="s">
        <v>188</v>
      </c>
      <c r="B71" s="4">
        <v>2943.1111111111113</v>
      </c>
    </row>
    <row r="72" spans="1:2" x14ac:dyDescent="0.3">
      <c r="A72" s="2" t="s">
        <v>145</v>
      </c>
      <c r="B72" s="4">
        <v>2945.3333333333335</v>
      </c>
    </row>
    <row r="73" spans="1:2" x14ac:dyDescent="0.3">
      <c r="A73" s="2" t="s">
        <v>187</v>
      </c>
      <c r="B73" s="4">
        <v>2992.8888888888887</v>
      </c>
    </row>
    <row r="74" spans="1:2" x14ac:dyDescent="0.3">
      <c r="A74" s="2" t="s">
        <v>118</v>
      </c>
      <c r="B74" s="4">
        <v>3171.1111111111113</v>
      </c>
    </row>
    <row r="75" spans="1:2" x14ac:dyDescent="0.3">
      <c r="A75" s="2" t="s">
        <v>180</v>
      </c>
      <c r="B75" s="4">
        <v>3243.1111111111113</v>
      </c>
    </row>
    <row r="76" spans="1:2" x14ac:dyDescent="0.3">
      <c r="A76" s="2" t="s">
        <v>124</v>
      </c>
      <c r="B76" s="4">
        <v>3718.6666666666665</v>
      </c>
    </row>
    <row r="77" spans="1:2" x14ac:dyDescent="0.3">
      <c r="A77" s="2" t="s">
        <v>182</v>
      </c>
      <c r="B77" s="4">
        <v>3856.8888888888887</v>
      </c>
    </row>
    <row r="78" spans="1:2" x14ac:dyDescent="0.3">
      <c r="A78" s="2" t="s">
        <v>160</v>
      </c>
      <c r="B78" s="4">
        <v>4892.4444444444443</v>
      </c>
    </row>
    <row r="79" spans="1:2" x14ac:dyDescent="0.3">
      <c r="A79" s="2" t="s">
        <v>152</v>
      </c>
      <c r="B79" s="4">
        <v>4964.8888888888887</v>
      </c>
    </row>
    <row r="80" spans="1:2" x14ac:dyDescent="0.3">
      <c r="A80" s="2" t="s">
        <v>134</v>
      </c>
      <c r="B80" s="4">
        <v>5661.7777777777774</v>
      </c>
    </row>
    <row r="81" spans="1:2" x14ac:dyDescent="0.3">
      <c r="A81" s="2" t="s">
        <v>133</v>
      </c>
      <c r="B81" s="4">
        <v>5690.666666666667</v>
      </c>
    </row>
  </sheetData>
  <sortState xmlns:xlrd2="http://schemas.microsoft.com/office/spreadsheetml/2017/richdata2" ref="D11:F15">
    <sortCondition ref="F11"/>
  </sortState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591CC-2945-437B-8F41-7077131B0033}">
  <sheetPr codeName="Folha1"/>
  <dimension ref="A1:F82"/>
  <sheetViews>
    <sheetView zoomScale="111" zoomScaleNormal="130" workbookViewId="0">
      <selection activeCell="I16" sqref="I16"/>
    </sheetView>
  </sheetViews>
  <sheetFormatPr defaultRowHeight="14.4" x14ac:dyDescent="0.3"/>
  <cols>
    <col min="1" max="1" width="38.88671875" bestFit="1" customWidth="1"/>
    <col min="2" max="2" width="8.21875" style="3" bestFit="1" customWidth="1"/>
    <col min="3" max="3" width="7.5546875" style="3" customWidth="1"/>
    <col min="4" max="4" width="12.33203125" bestFit="1" customWidth="1"/>
    <col min="5" max="5" width="14.5546875" customWidth="1"/>
    <col min="6" max="6" width="16.6640625" customWidth="1"/>
    <col min="7" max="18" width="31.5546875" bestFit="1" customWidth="1"/>
    <col min="19" max="19" width="10" bestFit="1" customWidth="1"/>
    <col min="20" max="20" width="37.33203125" bestFit="1" customWidth="1"/>
  </cols>
  <sheetData>
    <row r="1" spans="1:6" x14ac:dyDescent="0.3">
      <c r="A1" s="1" t="s">
        <v>0</v>
      </c>
      <c r="B1" t="s">
        <v>1</v>
      </c>
      <c r="C1"/>
    </row>
    <row r="2" spans="1:6" x14ac:dyDescent="0.3">
      <c r="A2" t="s">
        <v>115</v>
      </c>
      <c r="B2" s="3">
        <v>121.22448979591837</v>
      </c>
      <c r="D2" t="s">
        <v>2</v>
      </c>
      <c r="E2" t="s">
        <v>3</v>
      </c>
      <c r="F2">
        <f t="shared" ref="F2:F9" si="0">AVERAGEIF($A$2:$A$81, E2, $B$2:$B$81)</f>
        <v>127.31428571428572</v>
      </c>
    </row>
    <row r="3" spans="1:6" x14ac:dyDescent="0.3">
      <c r="A3" t="s">
        <v>116</v>
      </c>
      <c r="B3" s="3">
        <v>123.51020408163265</v>
      </c>
      <c r="D3" t="s">
        <v>24</v>
      </c>
      <c r="E3" t="s">
        <v>7</v>
      </c>
      <c r="F3">
        <f t="shared" si="0"/>
        <v>132.08163265306123</v>
      </c>
    </row>
    <row r="4" spans="1:6" x14ac:dyDescent="0.3">
      <c r="A4" t="s">
        <v>117</v>
      </c>
      <c r="B4" s="3">
        <v>123.51020408163265</v>
      </c>
      <c r="D4" t="s">
        <v>20</v>
      </c>
      <c r="E4" t="s">
        <v>4</v>
      </c>
      <c r="F4">
        <f t="shared" si="0"/>
        <v>133.64897959183673</v>
      </c>
    </row>
    <row r="5" spans="1:6" x14ac:dyDescent="0.3">
      <c r="A5" t="s">
        <v>118</v>
      </c>
      <c r="B5" s="3">
        <v>124.08163265306122</v>
      </c>
      <c r="D5" t="s">
        <v>22</v>
      </c>
      <c r="E5" t="s">
        <v>5</v>
      </c>
      <c r="F5">
        <f t="shared" si="0"/>
        <v>133.95102040816329</v>
      </c>
    </row>
    <row r="6" spans="1:6" x14ac:dyDescent="0.3">
      <c r="A6" t="s">
        <v>119</v>
      </c>
      <c r="B6" s="3">
        <v>125.22448979591837</v>
      </c>
      <c r="D6" t="s">
        <v>21</v>
      </c>
      <c r="E6" t="s">
        <v>17</v>
      </c>
      <c r="F6">
        <f t="shared" si="0"/>
        <v>141.13877551020408</v>
      </c>
    </row>
    <row r="7" spans="1:6" x14ac:dyDescent="0.3">
      <c r="A7" t="s">
        <v>120</v>
      </c>
      <c r="B7" s="3">
        <v>126.93877551020408</v>
      </c>
      <c r="D7" t="s">
        <v>25</v>
      </c>
      <c r="E7" t="s">
        <v>8</v>
      </c>
      <c r="F7">
        <f t="shared" si="0"/>
        <v>141.26530612244898</v>
      </c>
    </row>
    <row r="8" spans="1:6" x14ac:dyDescent="0.3">
      <c r="A8" t="s">
        <v>121</v>
      </c>
      <c r="B8" s="3">
        <v>127.10204081632654</v>
      </c>
      <c r="D8" t="s">
        <v>23</v>
      </c>
      <c r="E8" t="s">
        <v>6</v>
      </c>
      <c r="F8">
        <f t="shared" si="0"/>
        <v>148.93469387755104</v>
      </c>
    </row>
    <row r="9" spans="1:6" x14ac:dyDescent="0.3">
      <c r="A9" t="s">
        <v>122</v>
      </c>
      <c r="B9" s="3">
        <v>128.32653061224491</v>
      </c>
      <c r="D9" t="s">
        <v>26</v>
      </c>
      <c r="E9" t="s">
        <v>9</v>
      </c>
      <c r="F9">
        <f t="shared" si="0"/>
        <v>163.89387755102041</v>
      </c>
    </row>
    <row r="10" spans="1:6" x14ac:dyDescent="0.3">
      <c r="A10" t="s">
        <v>123</v>
      </c>
      <c r="B10" s="3">
        <v>128.48979591836735</v>
      </c>
    </row>
    <row r="11" spans="1:6" x14ac:dyDescent="0.3">
      <c r="A11" t="s">
        <v>124</v>
      </c>
      <c r="B11" s="3">
        <v>128.73469387755102</v>
      </c>
      <c r="D11" t="s">
        <v>27</v>
      </c>
      <c r="E11" t="s">
        <v>10</v>
      </c>
      <c r="F11">
        <f>AVERAGEIF($A$2:$A$81, E11, $B$2:$B$81)</f>
        <v>136.18367346938777</v>
      </c>
    </row>
    <row r="12" spans="1:6" x14ac:dyDescent="0.3">
      <c r="A12" t="s">
        <v>125</v>
      </c>
      <c r="B12" s="3">
        <v>128.81632653061226</v>
      </c>
      <c r="D12" t="s">
        <v>28</v>
      </c>
      <c r="E12" t="s">
        <v>11</v>
      </c>
      <c r="F12">
        <f t="shared" ref="F12:F15" si="1">AVERAGEIF($A$2:$A$81, E12, $B$2:$B$81)</f>
        <v>138.59693877551018</v>
      </c>
    </row>
    <row r="13" spans="1:6" x14ac:dyDescent="0.3">
      <c r="A13" t="s">
        <v>126</v>
      </c>
      <c r="B13" s="3">
        <v>128.81632653061226</v>
      </c>
      <c r="D13" t="s">
        <v>29</v>
      </c>
      <c r="E13" t="s">
        <v>12</v>
      </c>
      <c r="F13">
        <f t="shared" si="1"/>
        <v>140.84438775510205</v>
      </c>
    </row>
    <row r="14" spans="1:6" x14ac:dyDescent="0.3">
      <c r="A14" t="s">
        <v>127</v>
      </c>
      <c r="B14" s="3">
        <v>129.71428571428572</v>
      </c>
      <c r="D14" t="s">
        <v>30</v>
      </c>
      <c r="E14" t="s">
        <v>13</v>
      </c>
      <c r="F14">
        <f t="shared" si="1"/>
        <v>142.86224489795919</v>
      </c>
    </row>
    <row r="15" spans="1:6" x14ac:dyDescent="0.3">
      <c r="A15" t="s">
        <v>128</v>
      </c>
      <c r="B15" s="3">
        <v>129.87755102040816</v>
      </c>
      <c r="D15" t="s">
        <v>31</v>
      </c>
      <c r="E15" t="s">
        <v>14</v>
      </c>
      <c r="F15">
        <f t="shared" si="1"/>
        <v>147.69897959183672</v>
      </c>
    </row>
    <row r="16" spans="1:6" x14ac:dyDescent="0.3">
      <c r="A16" t="s">
        <v>129</v>
      </c>
      <c r="B16" s="3">
        <v>130.0408163265306</v>
      </c>
    </row>
    <row r="17" spans="1:6" x14ac:dyDescent="0.3">
      <c r="A17" t="s">
        <v>130</v>
      </c>
      <c r="B17" s="3">
        <v>130.61224489795919</v>
      </c>
      <c r="D17" t="s">
        <v>32</v>
      </c>
      <c r="E17" t="s">
        <v>16</v>
      </c>
      <c r="F17">
        <f>AVERAGEIF($A$2:$A$81, E17, $B$2:$B$81)</f>
        <v>139.21428571428572</v>
      </c>
    </row>
    <row r="18" spans="1:6" x14ac:dyDescent="0.3">
      <c r="A18" t="s">
        <v>131</v>
      </c>
      <c r="B18" s="3">
        <v>130.9387755102041</v>
      </c>
      <c r="D18" t="s">
        <v>33</v>
      </c>
      <c r="E18" t="s">
        <v>15</v>
      </c>
      <c r="F18">
        <f>AVERAGEIF($A$2:$A$81, E18, $B$2:$B$81)</f>
        <v>143.26020408163262</v>
      </c>
    </row>
    <row r="19" spans="1:6" x14ac:dyDescent="0.3">
      <c r="A19" t="s">
        <v>132</v>
      </c>
      <c r="B19" s="3">
        <v>131.0204081632653</v>
      </c>
    </row>
    <row r="20" spans="1:6" x14ac:dyDescent="0.3">
      <c r="A20" t="s">
        <v>133</v>
      </c>
      <c r="B20" s="3">
        <v>131.34693877551021</v>
      </c>
    </row>
    <row r="21" spans="1:6" x14ac:dyDescent="0.3">
      <c r="A21" t="s">
        <v>134</v>
      </c>
      <c r="B21" s="3">
        <v>131.91836734693877</v>
      </c>
    </row>
    <row r="22" spans="1:6" x14ac:dyDescent="0.3">
      <c r="A22" t="s">
        <v>135</v>
      </c>
      <c r="B22" s="3">
        <v>132.08163265306123</v>
      </c>
    </row>
    <row r="23" spans="1:6" x14ac:dyDescent="0.3">
      <c r="A23" t="s">
        <v>136</v>
      </c>
      <c r="B23" s="3">
        <v>132.40816326530611</v>
      </c>
    </row>
    <row r="24" spans="1:6" x14ac:dyDescent="0.3">
      <c r="A24" t="s">
        <v>137</v>
      </c>
      <c r="B24" s="3">
        <v>132.40816326530611</v>
      </c>
    </row>
    <row r="25" spans="1:6" x14ac:dyDescent="0.3">
      <c r="A25" t="s">
        <v>138</v>
      </c>
      <c r="B25" s="3">
        <v>132.81632653061226</v>
      </c>
    </row>
    <row r="26" spans="1:6" x14ac:dyDescent="0.3">
      <c r="A26" t="s">
        <v>139</v>
      </c>
      <c r="B26" s="3">
        <v>132.89795918367346</v>
      </c>
    </row>
    <row r="27" spans="1:6" x14ac:dyDescent="0.3">
      <c r="A27" t="s">
        <v>140</v>
      </c>
      <c r="B27" s="3">
        <v>132.9795918367347</v>
      </c>
    </row>
    <row r="28" spans="1:6" x14ac:dyDescent="0.3">
      <c r="A28" t="s">
        <v>141</v>
      </c>
      <c r="B28" s="3">
        <v>133.0612244897959</v>
      </c>
    </row>
    <row r="29" spans="1:6" x14ac:dyDescent="0.3">
      <c r="A29" t="s">
        <v>142</v>
      </c>
      <c r="B29" s="3">
        <v>133.71428571428572</v>
      </c>
    </row>
    <row r="30" spans="1:6" x14ac:dyDescent="0.3">
      <c r="A30" t="s">
        <v>143</v>
      </c>
      <c r="B30" s="3">
        <v>134.20408163265307</v>
      </c>
    </row>
    <row r="31" spans="1:6" x14ac:dyDescent="0.3">
      <c r="A31" t="s">
        <v>144</v>
      </c>
      <c r="B31" s="3">
        <v>134.28571428571428</v>
      </c>
    </row>
    <row r="32" spans="1:6" x14ac:dyDescent="0.3">
      <c r="A32" t="s">
        <v>145</v>
      </c>
      <c r="B32" s="3">
        <v>134.44897959183675</v>
      </c>
    </row>
    <row r="33" spans="1:2" x14ac:dyDescent="0.3">
      <c r="A33" t="s">
        <v>146</v>
      </c>
      <c r="B33" s="3">
        <v>134.44897959183675</v>
      </c>
    </row>
    <row r="34" spans="1:2" x14ac:dyDescent="0.3">
      <c r="A34" t="s">
        <v>147</v>
      </c>
      <c r="B34" s="3">
        <v>134.61224489795919</v>
      </c>
    </row>
    <row r="35" spans="1:2" x14ac:dyDescent="0.3">
      <c r="A35" t="s">
        <v>148</v>
      </c>
      <c r="B35" s="3">
        <v>134.69387755102042</v>
      </c>
    </row>
    <row r="36" spans="1:2" x14ac:dyDescent="0.3">
      <c r="A36" t="s">
        <v>149</v>
      </c>
      <c r="B36" s="3">
        <v>134.69387755102042</v>
      </c>
    </row>
    <row r="37" spans="1:2" x14ac:dyDescent="0.3">
      <c r="A37" t="s">
        <v>150</v>
      </c>
      <c r="B37" s="3">
        <v>134.85714285714286</v>
      </c>
    </row>
    <row r="38" spans="1:2" x14ac:dyDescent="0.3">
      <c r="A38" t="s">
        <v>151</v>
      </c>
      <c r="B38" s="3">
        <v>135.26530612244898</v>
      </c>
    </row>
    <row r="39" spans="1:2" x14ac:dyDescent="0.3">
      <c r="A39" t="s">
        <v>152</v>
      </c>
      <c r="B39" s="3">
        <v>135.51020408163265</v>
      </c>
    </row>
    <row r="40" spans="1:2" x14ac:dyDescent="0.3">
      <c r="A40" t="s">
        <v>153</v>
      </c>
      <c r="B40" s="3">
        <v>136</v>
      </c>
    </row>
    <row r="41" spans="1:2" x14ac:dyDescent="0.3">
      <c r="A41" t="s">
        <v>154</v>
      </c>
      <c r="B41" s="3">
        <v>136.24489795918367</v>
      </c>
    </row>
    <row r="42" spans="1:2" x14ac:dyDescent="0.3">
      <c r="A42" t="s">
        <v>155</v>
      </c>
      <c r="B42" s="3">
        <v>136.32653061224491</v>
      </c>
    </row>
    <row r="43" spans="1:2" x14ac:dyDescent="0.3">
      <c r="A43" t="s">
        <v>156</v>
      </c>
      <c r="B43" s="3">
        <v>136.40816326530611</v>
      </c>
    </row>
    <row r="44" spans="1:2" x14ac:dyDescent="0.3">
      <c r="A44" t="s">
        <v>157</v>
      </c>
      <c r="B44" s="3">
        <v>136.9795918367347</v>
      </c>
    </row>
    <row r="45" spans="1:2" x14ac:dyDescent="0.3">
      <c r="A45" t="s">
        <v>158</v>
      </c>
      <c r="B45" s="3">
        <v>136.9795918367347</v>
      </c>
    </row>
    <row r="46" spans="1:2" x14ac:dyDescent="0.3">
      <c r="A46" t="s">
        <v>159</v>
      </c>
      <c r="B46" s="3">
        <v>137.30612244897958</v>
      </c>
    </row>
    <row r="47" spans="1:2" x14ac:dyDescent="0.3">
      <c r="A47" t="s">
        <v>160</v>
      </c>
      <c r="B47" s="3">
        <v>138</v>
      </c>
    </row>
    <row r="48" spans="1:2" x14ac:dyDescent="0.3">
      <c r="A48" t="s">
        <v>161</v>
      </c>
      <c r="B48" s="3">
        <v>138.12244897959184</v>
      </c>
    </row>
    <row r="49" spans="1:2" x14ac:dyDescent="0.3">
      <c r="A49" t="s">
        <v>162</v>
      </c>
      <c r="B49" s="3">
        <v>138.28571428571428</v>
      </c>
    </row>
    <row r="50" spans="1:2" x14ac:dyDescent="0.3">
      <c r="A50" t="s">
        <v>163</v>
      </c>
      <c r="B50" s="3">
        <v>138.69387755102042</v>
      </c>
    </row>
    <row r="51" spans="1:2" x14ac:dyDescent="0.3">
      <c r="A51" t="s">
        <v>164</v>
      </c>
      <c r="B51" s="3">
        <v>138.9387755102041</v>
      </c>
    </row>
    <row r="52" spans="1:2" x14ac:dyDescent="0.3">
      <c r="A52" t="s">
        <v>165</v>
      </c>
      <c r="B52" s="3">
        <v>139.18367346938774</v>
      </c>
    </row>
    <row r="53" spans="1:2" x14ac:dyDescent="0.3">
      <c r="A53" t="s">
        <v>166</v>
      </c>
      <c r="B53" s="3">
        <v>140.08163265306123</v>
      </c>
    </row>
    <row r="54" spans="1:2" x14ac:dyDescent="0.3">
      <c r="A54" t="s">
        <v>167</v>
      </c>
      <c r="B54" s="3">
        <v>141.71428571428572</v>
      </c>
    </row>
    <row r="55" spans="1:2" x14ac:dyDescent="0.3">
      <c r="A55" t="s">
        <v>168</v>
      </c>
      <c r="B55" s="3">
        <v>141.87755102040816</v>
      </c>
    </row>
    <row r="56" spans="1:2" x14ac:dyDescent="0.3">
      <c r="A56" t="s">
        <v>169</v>
      </c>
      <c r="B56" s="3">
        <v>141.9591836734694</v>
      </c>
    </row>
    <row r="57" spans="1:2" x14ac:dyDescent="0.3">
      <c r="A57" t="s">
        <v>170</v>
      </c>
      <c r="B57" s="3">
        <v>142.61224489795919</v>
      </c>
    </row>
    <row r="58" spans="1:2" x14ac:dyDescent="0.3">
      <c r="A58" t="s">
        <v>171</v>
      </c>
      <c r="B58" s="3">
        <v>143.75510204081633</v>
      </c>
    </row>
    <row r="59" spans="1:2" x14ac:dyDescent="0.3">
      <c r="A59" t="s">
        <v>172</v>
      </c>
      <c r="B59" s="3">
        <v>143.91836734693877</v>
      </c>
    </row>
    <row r="60" spans="1:2" x14ac:dyDescent="0.3">
      <c r="A60" t="s">
        <v>173</v>
      </c>
      <c r="B60" s="3">
        <v>147.75510204081633</v>
      </c>
    </row>
    <row r="61" spans="1:2" x14ac:dyDescent="0.3">
      <c r="A61" t="s">
        <v>174</v>
      </c>
      <c r="B61" s="3">
        <v>148.65306122448979</v>
      </c>
    </row>
    <row r="62" spans="1:2" x14ac:dyDescent="0.3">
      <c r="A62" t="s">
        <v>175</v>
      </c>
      <c r="B62" s="3">
        <v>148.81632653061226</v>
      </c>
    </row>
    <row r="63" spans="1:2" x14ac:dyDescent="0.3">
      <c r="A63" t="s">
        <v>176</v>
      </c>
      <c r="B63" s="3">
        <v>149.63265306122449</v>
      </c>
    </row>
    <row r="64" spans="1:2" x14ac:dyDescent="0.3">
      <c r="A64" t="s">
        <v>177</v>
      </c>
      <c r="B64" s="3">
        <v>150.20408163265307</v>
      </c>
    </row>
    <row r="65" spans="1:2" x14ac:dyDescent="0.3">
      <c r="A65" t="s">
        <v>178</v>
      </c>
      <c r="B65" s="3">
        <v>150.28571428571428</v>
      </c>
    </row>
    <row r="66" spans="1:2" x14ac:dyDescent="0.3">
      <c r="A66" t="s">
        <v>179</v>
      </c>
      <c r="B66" s="3">
        <v>152.57142857142858</v>
      </c>
    </row>
    <row r="67" spans="1:2" x14ac:dyDescent="0.3">
      <c r="A67" t="s">
        <v>180</v>
      </c>
      <c r="B67" s="3">
        <v>152.73469387755102</v>
      </c>
    </row>
    <row r="68" spans="1:2" x14ac:dyDescent="0.3">
      <c r="A68" t="s">
        <v>181</v>
      </c>
      <c r="B68" s="3">
        <v>156</v>
      </c>
    </row>
    <row r="69" spans="1:2" x14ac:dyDescent="0.3">
      <c r="A69" t="s">
        <v>182</v>
      </c>
      <c r="B69" s="3">
        <v>156.65306122448979</v>
      </c>
    </row>
    <row r="70" spans="1:2" x14ac:dyDescent="0.3">
      <c r="A70" t="s">
        <v>183</v>
      </c>
      <c r="B70" s="3">
        <v>157.87755102040816</v>
      </c>
    </row>
    <row r="71" spans="1:2" x14ac:dyDescent="0.3">
      <c r="A71" t="s">
        <v>184</v>
      </c>
      <c r="B71" s="3">
        <v>158.69387755102042</v>
      </c>
    </row>
    <row r="72" spans="1:2" x14ac:dyDescent="0.3">
      <c r="A72" t="s">
        <v>185</v>
      </c>
      <c r="B72" s="3">
        <v>160.08163265306123</v>
      </c>
    </row>
    <row r="73" spans="1:2" x14ac:dyDescent="0.3">
      <c r="A73" t="s">
        <v>186</v>
      </c>
      <c r="B73" s="3">
        <v>164.08163265306123</v>
      </c>
    </row>
    <row r="74" spans="1:2" x14ac:dyDescent="0.3">
      <c r="A74" t="s">
        <v>187</v>
      </c>
      <c r="B74" s="3">
        <v>165.22448979591837</v>
      </c>
    </row>
    <row r="75" spans="1:2" x14ac:dyDescent="0.3">
      <c r="A75" t="s">
        <v>188</v>
      </c>
      <c r="B75" s="3">
        <v>165.79591836734693</v>
      </c>
    </row>
    <row r="76" spans="1:2" x14ac:dyDescent="0.3">
      <c r="A76" t="s">
        <v>189</v>
      </c>
      <c r="B76" s="3">
        <v>169.63265306122449</v>
      </c>
    </row>
    <row r="77" spans="1:2" x14ac:dyDescent="0.3">
      <c r="A77" t="s">
        <v>190</v>
      </c>
      <c r="B77" s="3">
        <v>172.81632653061226</v>
      </c>
    </row>
    <row r="78" spans="1:2" x14ac:dyDescent="0.3">
      <c r="A78" t="s">
        <v>191</v>
      </c>
      <c r="B78" s="3">
        <v>175.0204081632653</v>
      </c>
    </row>
    <row r="79" spans="1:2" x14ac:dyDescent="0.3">
      <c r="A79" t="s">
        <v>192</v>
      </c>
      <c r="B79" s="3">
        <v>175.42857142857142</v>
      </c>
    </row>
    <row r="80" spans="1:2" x14ac:dyDescent="0.3">
      <c r="A80" t="s">
        <v>193</v>
      </c>
      <c r="B80" s="3">
        <v>175.83673469387756</v>
      </c>
    </row>
    <row r="81" spans="1:3" x14ac:dyDescent="0.3">
      <c r="A81" t="s">
        <v>194</v>
      </c>
      <c r="B81" s="3">
        <v>192.16326530612244</v>
      </c>
    </row>
    <row r="82" spans="1:3" x14ac:dyDescent="0.3">
      <c r="B82"/>
      <c r="C82"/>
    </row>
  </sheetData>
  <sortState xmlns:xlrd2="http://schemas.microsoft.com/office/spreadsheetml/2017/richdata2" ref="D3:F9">
    <sortCondition ref="F2"/>
  </sortState>
  <pageMargins left="0.7" right="0.7" top="0.75" bottom="0.75" header="0.3" footer="0.3"/>
  <pageSetup paperSize="9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B16168-32C0-4F5E-BF89-59F29650F1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2</vt:i4>
      </vt:variant>
    </vt:vector>
  </HeadingPairs>
  <TitlesOfParts>
    <vt:vector size="8" baseType="lpstr">
      <vt:lpstr>Dados 8x8</vt:lpstr>
      <vt:lpstr>Folha2</vt:lpstr>
      <vt:lpstr>Folha1</vt:lpstr>
      <vt:lpstr>Dados 16x16</vt:lpstr>
      <vt:lpstr>Analise 16x16</vt:lpstr>
      <vt:lpstr>Analise 8x8</vt:lpstr>
      <vt:lpstr>Sea</vt:lpstr>
      <vt:lpstr>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Gonçalo Santos</dc:creator>
  <cp:lastModifiedBy>Gonçalo Santos</cp:lastModifiedBy>
  <dcterms:created xsi:type="dcterms:W3CDTF">2018-12-18T12:21:21Z</dcterms:created>
  <dcterms:modified xsi:type="dcterms:W3CDTF">2018-12-22T18:29:21Z</dcterms:modified>
</cp:coreProperties>
</file>